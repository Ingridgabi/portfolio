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Ingrid\Downloads\"/>
    </mc:Choice>
  </mc:AlternateContent>
  <xr:revisionPtr revIDLastSave="0" documentId="13_ncr:1_{04F2EA5F-8941-4AAE-AE0D-B0A1ABB1DD6B}" xr6:coauthVersionLast="47" xr6:coauthVersionMax="47" xr10:uidLastSave="{00000000-0000-0000-0000-000000000000}"/>
  <bookViews>
    <workbookView xWindow="-120" yWindow="-120" windowWidth="29040" windowHeight="15840" tabRatio="500" activeTab="8" xr2:uid="{00000000-000D-0000-FFFF-FFFF00000000}"/>
  </bookViews>
  <sheets>
    <sheet name="Janeiro" sheetId="1" r:id="rId1"/>
    <sheet name="Fevereiro" sheetId="2" r:id="rId2"/>
    <sheet name="Março" sheetId="3" r:id="rId3"/>
    <sheet name="Abril" sheetId="4" r:id="rId4"/>
    <sheet name="Maio" sheetId="5" r:id="rId5"/>
    <sheet name="Junho" sheetId="6" r:id="rId6"/>
    <sheet name="Julho" sheetId="7" r:id="rId7"/>
    <sheet name="Agosto" sheetId="8" r:id="rId8"/>
    <sheet name="Setembro" sheetId="9" r:id="rId9"/>
    <sheet name="Outubro" sheetId="10" r:id="rId10"/>
    <sheet name="Novembro" sheetId="11" r:id="rId11"/>
    <sheet name="Dezembro" sheetId="12" r:id="rId12"/>
    <sheet name="Resumo Anual" sheetId="13" r:id="rId13"/>
    <sheet name="Categorias" sheetId="14" r:id="rId14"/>
  </sheets>
  <definedNames>
    <definedName name="_xlnm._FilterDatabase" localSheetId="7" hidden="1">Agosto!$J$7:$P$7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0" i="13" l="1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S23" i="12"/>
  <c r="S17" i="12" s="1"/>
  <c r="W20" i="12"/>
  <c r="M20" i="13" s="1"/>
  <c r="F20" i="12"/>
  <c r="W19" i="12"/>
  <c r="AA17" i="12" s="1"/>
  <c r="Z18" i="12"/>
  <c r="W18" i="12"/>
  <c r="AA16" i="12" s="1"/>
  <c r="Z17" i="12"/>
  <c r="W17" i="12"/>
  <c r="AA15" i="12" s="1"/>
  <c r="Z16" i="12"/>
  <c r="W16" i="12"/>
  <c r="M16" i="13" s="1"/>
  <c r="S16" i="12"/>
  <c r="V27" i="12" s="1"/>
  <c r="Z15" i="12"/>
  <c r="W15" i="12"/>
  <c r="M15" i="13" s="1"/>
  <c r="S15" i="12"/>
  <c r="V26" i="12" s="1"/>
  <c r="AA14" i="12"/>
  <c r="Z14" i="12"/>
  <c r="W14" i="12"/>
  <c r="AA12" i="12" s="1"/>
  <c r="S14" i="12"/>
  <c r="V25" i="12" s="1"/>
  <c r="AA13" i="12"/>
  <c r="Z13" i="12"/>
  <c r="W13" i="12"/>
  <c r="M13" i="13" s="1"/>
  <c r="S13" i="12"/>
  <c r="Z12" i="12"/>
  <c r="W12" i="12"/>
  <c r="M12" i="13" s="1"/>
  <c r="Z11" i="12"/>
  <c r="W11" i="12"/>
  <c r="M11" i="13" s="1"/>
  <c r="Z10" i="12"/>
  <c r="W10" i="12"/>
  <c r="M10" i="13" s="1"/>
  <c r="S10" i="12"/>
  <c r="M23" i="13" s="1"/>
  <c r="AA9" i="12"/>
  <c r="Z9" i="12"/>
  <c r="W9" i="12"/>
  <c r="M9" i="13" s="1"/>
  <c r="AA8" i="12"/>
  <c r="Z8" i="12"/>
  <c r="W8" i="12"/>
  <c r="M8" i="13" s="1"/>
  <c r="AA7" i="12"/>
  <c r="Z7" i="12"/>
  <c r="W7" i="12"/>
  <c r="M7" i="13" s="1"/>
  <c r="F7" i="12"/>
  <c r="Z6" i="12"/>
  <c r="W6" i="12"/>
  <c r="M6" i="13" s="1"/>
  <c r="AA5" i="12"/>
  <c r="Z5" i="12"/>
  <c r="W5" i="12"/>
  <c r="AA3" i="12" s="1"/>
  <c r="AA4" i="12"/>
  <c r="Z4" i="12"/>
  <c r="N4" i="12"/>
  <c r="F4" i="12" s="1"/>
  <c r="Z3" i="12"/>
  <c r="V26" i="11"/>
  <c r="S23" i="11"/>
  <c r="S17" i="11" s="1"/>
  <c r="W20" i="11"/>
  <c r="L20" i="13" s="1"/>
  <c r="F20" i="11"/>
  <c r="W19" i="11"/>
  <c r="L19" i="13" s="1"/>
  <c r="AA18" i="11"/>
  <c r="Z18" i="11"/>
  <c r="W18" i="11"/>
  <c r="AA16" i="11" s="1"/>
  <c r="Z17" i="11"/>
  <c r="W17" i="11"/>
  <c r="L17" i="13" s="1"/>
  <c r="Z16" i="11"/>
  <c r="W16" i="11"/>
  <c r="L16" i="13" s="1"/>
  <c r="S16" i="11"/>
  <c r="V27" i="11" s="1"/>
  <c r="AA15" i="11"/>
  <c r="Z15" i="11"/>
  <c r="W15" i="11"/>
  <c r="L15" i="13" s="1"/>
  <c r="S15" i="11"/>
  <c r="AA14" i="11"/>
  <c r="Z14" i="11"/>
  <c r="W14" i="11"/>
  <c r="AA12" i="11" s="1"/>
  <c r="S14" i="11"/>
  <c r="V25" i="11" s="1"/>
  <c r="Z13" i="11"/>
  <c r="X13" i="11"/>
  <c r="W13" i="11"/>
  <c r="AA11" i="11" s="1"/>
  <c r="S13" i="11"/>
  <c r="Z12" i="11"/>
  <c r="W12" i="11"/>
  <c r="L12" i="13" s="1"/>
  <c r="Z11" i="11"/>
  <c r="X11" i="11"/>
  <c r="W11" i="11"/>
  <c r="L11" i="13" s="1"/>
  <c r="AA10" i="11"/>
  <c r="Z10" i="11"/>
  <c r="W10" i="11"/>
  <c r="L10" i="13" s="1"/>
  <c r="S10" i="11"/>
  <c r="L23" i="13" s="1"/>
  <c r="AA9" i="11"/>
  <c r="Z9" i="11"/>
  <c r="W9" i="11"/>
  <c r="L9" i="13" s="1"/>
  <c r="Z8" i="11"/>
  <c r="W8" i="11"/>
  <c r="AA6" i="11" s="1"/>
  <c r="AA7" i="11"/>
  <c r="Z7" i="11"/>
  <c r="W7" i="11"/>
  <c r="L7" i="13" s="1"/>
  <c r="F7" i="11"/>
  <c r="Z6" i="11"/>
  <c r="W6" i="11"/>
  <c r="L6" i="13" s="1"/>
  <c r="AA5" i="11"/>
  <c r="Z5" i="11"/>
  <c r="W5" i="11"/>
  <c r="AA3" i="11" s="1"/>
  <c r="Z4" i="11"/>
  <c r="N4" i="11"/>
  <c r="F4" i="11"/>
  <c r="X20" i="11" s="1"/>
  <c r="Z3" i="11"/>
  <c r="V26" i="10"/>
  <c r="S23" i="10"/>
  <c r="S17" i="10" s="1"/>
  <c r="W20" i="10"/>
  <c r="AA18" i="10" s="1"/>
  <c r="F20" i="10"/>
  <c r="W19" i="10"/>
  <c r="K19" i="13" s="1"/>
  <c r="Z18" i="10"/>
  <c r="W18" i="10"/>
  <c r="AA16" i="10" s="1"/>
  <c r="AA17" i="10"/>
  <c r="Z17" i="10"/>
  <c r="W17" i="10"/>
  <c r="K17" i="13" s="1"/>
  <c r="Z16" i="10"/>
  <c r="W16" i="10"/>
  <c r="K16" i="13" s="1"/>
  <c r="S16" i="10"/>
  <c r="V27" i="10" s="1"/>
  <c r="AA15" i="10"/>
  <c r="Z15" i="10"/>
  <c r="W15" i="10"/>
  <c r="K15" i="13" s="1"/>
  <c r="S15" i="10"/>
  <c r="AA14" i="10"/>
  <c r="Z14" i="10"/>
  <c r="W14" i="10"/>
  <c r="K14" i="13" s="1"/>
  <c r="S14" i="10"/>
  <c r="V25" i="10" s="1"/>
  <c r="Z13" i="10"/>
  <c r="W13" i="10"/>
  <c r="K13" i="13" s="1"/>
  <c r="S13" i="10"/>
  <c r="S18" i="10" s="1"/>
  <c r="AA12" i="10"/>
  <c r="Z12" i="10"/>
  <c r="W12" i="10"/>
  <c r="K12" i="13" s="1"/>
  <c r="AA11" i="10"/>
  <c r="Z11" i="10"/>
  <c r="W11" i="10"/>
  <c r="K11" i="13" s="1"/>
  <c r="AA10" i="10"/>
  <c r="Z10" i="10"/>
  <c r="W10" i="10"/>
  <c r="K10" i="13" s="1"/>
  <c r="S10" i="10"/>
  <c r="Z9" i="10"/>
  <c r="W9" i="10"/>
  <c r="K9" i="13" s="1"/>
  <c r="Z8" i="10"/>
  <c r="W8" i="10"/>
  <c r="K8" i="13" s="1"/>
  <c r="AA7" i="10"/>
  <c r="Z7" i="10"/>
  <c r="W7" i="10"/>
  <c r="AA5" i="10" s="1"/>
  <c r="F7" i="10"/>
  <c r="AA6" i="10"/>
  <c r="Z6" i="10"/>
  <c r="W6" i="10"/>
  <c r="AA4" i="10" s="1"/>
  <c r="Z5" i="10"/>
  <c r="W5" i="10"/>
  <c r="K5" i="13" s="1"/>
  <c r="Z4" i="10"/>
  <c r="N4" i="10"/>
  <c r="F4" i="10" s="1"/>
  <c r="Z3" i="10"/>
  <c r="S23" i="8"/>
  <c r="W20" i="8"/>
  <c r="AA18" i="8" s="1"/>
  <c r="F20" i="8"/>
  <c r="F4" i="8" s="1"/>
  <c r="W19" i="8"/>
  <c r="AA17" i="8" s="1"/>
  <c r="Z18" i="8"/>
  <c r="W18" i="8"/>
  <c r="I18" i="13" s="1"/>
  <c r="Z17" i="8"/>
  <c r="W17" i="8"/>
  <c r="I17" i="13" s="1"/>
  <c r="S17" i="8"/>
  <c r="Z16" i="8"/>
  <c r="W16" i="8"/>
  <c r="I16" i="13" s="1"/>
  <c r="S16" i="8"/>
  <c r="V27" i="8" s="1"/>
  <c r="Z15" i="8"/>
  <c r="W15" i="8"/>
  <c r="I15" i="13" s="1"/>
  <c r="S15" i="8"/>
  <c r="V26" i="8" s="1"/>
  <c r="Z14" i="8"/>
  <c r="W14" i="8"/>
  <c r="I14" i="13" s="1"/>
  <c r="S14" i="8"/>
  <c r="V25" i="8" s="1"/>
  <c r="Z13" i="8"/>
  <c r="W13" i="8"/>
  <c r="I13" i="13" s="1"/>
  <c r="S13" i="8"/>
  <c r="S18" i="8" s="1"/>
  <c r="AA12" i="8"/>
  <c r="Z12" i="8"/>
  <c r="W12" i="8"/>
  <c r="I12" i="13" s="1"/>
  <c r="Z11" i="8"/>
  <c r="W11" i="8"/>
  <c r="I11" i="13" s="1"/>
  <c r="Z10" i="8"/>
  <c r="W10" i="8"/>
  <c r="I10" i="13" s="1"/>
  <c r="S10" i="8"/>
  <c r="I23" i="13" s="1"/>
  <c r="Z9" i="8"/>
  <c r="W9" i="8"/>
  <c r="AA7" i="8" s="1"/>
  <c r="AA8" i="8"/>
  <c r="Z8" i="8"/>
  <c r="W8" i="8"/>
  <c r="I8" i="13" s="1"/>
  <c r="Z7" i="8"/>
  <c r="W7" i="8"/>
  <c r="AA5" i="8" s="1"/>
  <c r="F7" i="8"/>
  <c r="Z6" i="8"/>
  <c r="W6" i="8"/>
  <c r="I6" i="13" s="1"/>
  <c r="Z5" i="8"/>
  <c r="W5" i="8"/>
  <c r="I5" i="13" s="1"/>
  <c r="Z4" i="8"/>
  <c r="N4" i="8"/>
  <c r="AA3" i="8"/>
  <c r="Z3" i="8"/>
  <c r="S23" i="7"/>
  <c r="W20" i="7"/>
  <c r="H20" i="13" s="1"/>
  <c r="F20" i="7"/>
  <c r="F4" i="7" s="1"/>
  <c r="W19" i="7"/>
  <c r="AA17" i="7" s="1"/>
  <c r="AA18" i="7"/>
  <c r="Z18" i="7"/>
  <c r="W18" i="7"/>
  <c r="H18" i="13" s="1"/>
  <c r="Z17" i="7"/>
  <c r="W17" i="7"/>
  <c r="AA15" i="7" s="1"/>
  <c r="S17" i="7"/>
  <c r="Z16" i="7"/>
  <c r="W16" i="7"/>
  <c r="H16" i="13" s="1"/>
  <c r="S16" i="7"/>
  <c r="V27" i="7" s="1"/>
  <c r="Z15" i="7"/>
  <c r="W15" i="7"/>
  <c r="H15" i="13" s="1"/>
  <c r="S15" i="7"/>
  <c r="V26" i="7" s="1"/>
  <c r="AA14" i="7"/>
  <c r="Z14" i="7"/>
  <c r="W14" i="7"/>
  <c r="AA12" i="7" s="1"/>
  <c r="S14" i="7"/>
  <c r="V25" i="7" s="1"/>
  <c r="Z13" i="7"/>
  <c r="W13" i="7"/>
  <c r="AA11" i="7" s="1"/>
  <c r="S13" i="7"/>
  <c r="V24" i="7" s="1"/>
  <c r="Z12" i="7"/>
  <c r="W12" i="7"/>
  <c r="H12" i="13" s="1"/>
  <c r="Z11" i="7"/>
  <c r="W11" i="7"/>
  <c r="H11" i="13" s="1"/>
  <c r="Z10" i="7"/>
  <c r="W10" i="7"/>
  <c r="H10" i="13" s="1"/>
  <c r="S10" i="7"/>
  <c r="H23" i="13" s="1"/>
  <c r="Z9" i="7"/>
  <c r="W9" i="7"/>
  <c r="H9" i="13" s="1"/>
  <c r="Z8" i="7"/>
  <c r="W8" i="7"/>
  <c r="AA6" i="7" s="1"/>
  <c r="AA7" i="7"/>
  <c r="Z7" i="7"/>
  <c r="W7" i="7"/>
  <c r="H7" i="13" s="1"/>
  <c r="F7" i="7"/>
  <c r="Z6" i="7"/>
  <c r="W6" i="7"/>
  <c r="H6" i="13" s="1"/>
  <c r="AA5" i="7"/>
  <c r="Z5" i="7"/>
  <c r="W5" i="7"/>
  <c r="H5" i="13" s="1"/>
  <c r="AA4" i="7"/>
  <c r="Z4" i="7"/>
  <c r="N4" i="7"/>
  <c r="AA3" i="7"/>
  <c r="Z3" i="7"/>
  <c r="V26" i="6"/>
  <c r="S23" i="6"/>
  <c r="W20" i="6"/>
  <c r="G20" i="13" s="1"/>
  <c r="F20" i="6"/>
  <c r="W19" i="6"/>
  <c r="G19" i="13" s="1"/>
  <c r="AA18" i="6"/>
  <c r="Z18" i="6"/>
  <c r="W18" i="6"/>
  <c r="G18" i="13" s="1"/>
  <c r="AA17" i="6"/>
  <c r="Z17" i="6"/>
  <c r="W17" i="6"/>
  <c r="G17" i="13" s="1"/>
  <c r="S17" i="6"/>
  <c r="Z16" i="6"/>
  <c r="W16" i="6"/>
  <c r="G16" i="13" s="1"/>
  <c r="S16" i="6"/>
  <c r="V27" i="6" s="1"/>
  <c r="AA15" i="6"/>
  <c r="Z15" i="6"/>
  <c r="W15" i="6"/>
  <c r="AA13" i="6" s="1"/>
  <c r="S15" i="6"/>
  <c r="AA14" i="6"/>
  <c r="Z14" i="6"/>
  <c r="W14" i="6"/>
  <c r="AA12" i="6" s="1"/>
  <c r="S14" i="6"/>
  <c r="V25" i="6" s="1"/>
  <c r="Z13" i="6"/>
  <c r="X13" i="6"/>
  <c r="W13" i="6"/>
  <c r="G13" i="13" s="1"/>
  <c r="S13" i="6"/>
  <c r="S18" i="6" s="1"/>
  <c r="Z12" i="6"/>
  <c r="W12" i="6"/>
  <c r="G12" i="13" s="1"/>
  <c r="Z11" i="6"/>
  <c r="W11" i="6"/>
  <c r="G11" i="13" s="1"/>
  <c r="AA10" i="6"/>
  <c r="Z10" i="6"/>
  <c r="W10" i="6"/>
  <c r="AA8" i="6" s="1"/>
  <c r="S10" i="6"/>
  <c r="AA9" i="6"/>
  <c r="Z9" i="6"/>
  <c r="W9" i="6"/>
  <c r="G9" i="13" s="1"/>
  <c r="Z8" i="6"/>
  <c r="W8" i="6"/>
  <c r="AA6" i="6" s="1"/>
  <c r="AA7" i="6"/>
  <c r="Z7" i="6"/>
  <c r="W7" i="6"/>
  <c r="G7" i="13" s="1"/>
  <c r="F7" i="6"/>
  <c r="Z6" i="6"/>
  <c r="W6" i="6"/>
  <c r="G6" i="13" s="1"/>
  <c r="AA5" i="6"/>
  <c r="Z5" i="6"/>
  <c r="W5" i="6"/>
  <c r="AA3" i="6" s="1"/>
  <c r="Z4" i="6"/>
  <c r="N4" i="6"/>
  <c r="F4" i="6"/>
  <c r="X20" i="6" s="1"/>
  <c r="Z3" i="6"/>
  <c r="V26" i="5"/>
  <c r="S23" i="5"/>
  <c r="S17" i="5" s="1"/>
  <c r="W20" i="5"/>
  <c r="AA18" i="5" s="1"/>
  <c r="F20" i="5"/>
  <c r="W19" i="5"/>
  <c r="F19" i="13" s="1"/>
  <c r="Z18" i="5"/>
  <c r="W18" i="5"/>
  <c r="AA16" i="5" s="1"/>
  <c r="Z17" i="5"/>
  <c r="W17" i="5"/>
  <c r="F17" i="13" s="1"/>
  <c r="Z16" i="5"/>
  <c r="W16" i="5"/>
  <c r="F16" i="13" s="1"/>
  <c r="S16" i="5"/>
  <c r="V27" i="5" s="1"/>
  <c r="AA15" i="5"/>
  <c r="Z15" i="5"/>
  <c r="W15" i="5"/>
  <c r="AA13" i="5" s="1"/>
  <c r="S15" i="5"/>
  <c r="AA14" i="5"/>
  <c r="Z14" i="5"/>
  <c r="W14" i="5"/>
  <c r="F14" i="13" s="1"/>
  <c r="S14" i="5"/>
  <c r="V25" i="5" s="1"/>
  <c r="Z13" i="5"/>
  <c r="W13" i="5"/>
  <c r="F13" i="13" s="1"/>
  <c r="S13" i="5"/>
  <c r="S18" i="5" s="1"/>
  <c r="AA12" i="5"/>
  <c r="Z12" i="5"/>
  <c r="W12" i="5"/>
  <c r="F12" i="13" s="1"/>
  <c r="AA11" i="5"/>
  <c r="Z11" i="5"/>
  <c r="W11" i="5"/>
  <c r="F11" i="13" s="1"/>
  <c r="AA10" i="5"/>
  <c r="Z10" i="5"/>
  <c r="W10" i="5"/>
  <c r="AA8" i="5" s="1"/>
  <c r="S10" i="5"/>
  <c r="F23" i="13" s="1"/>
  <c r="AA9" i="5"/>
  <c r="Z9" i="5"/>
  <c r="W9" i="5"/>
  <c r="AA7" i="5" s="1"/>
  <c r="Z8" i="5"/>
  <c r="W8" i="5"/>
  <c r="F8" i="13" s="1"/>
  <c r="Z7" i="5"/>
  <c r="W7" i="5"/>
  <c r="F7" i="13" s="1"/>
  <c r="F7" i="5"/>
  <c r="AA6" i="5"/>
  <c r="Z6" i="5"/>
  <c r="W6" i="5"/>
  <c r="F6" i="13" s="1"/>
  <c r="Z5" i="5"/>
  <c r="W5" i="5"/>
  <c r="F5" i="13" s="1"/>
  <c r="Z4" i="5"/>
  <c r="N4" i="5"/>
  <c r="F4" i="5" s="1"/>
  <c r="Z3" i="5"/>
  <c r="S23" i="4"/>
  <c r="W20" i="4"/>
  <c r="E20" i="13" s="1"/>
  <c r="F20" i="4"/>
  <c r="F4" i="4" s="1"/>
  <c r="W19" i="4"/>
  <c r="E19" i="13" s="1"/>
  <c r="Z18" i="4"/>
  <c r="W18" i="4"/>
  <c r="E18" i="13" s="1"/>
  <c r="Z17" i="4"/>
  <c r="W17" i="4"/>
  <c r="AA15" i="4" s="1"/>
  <c r="S17" i="4"/>
  <c r="Z16" i="4"/>
  <c r="W16" i="4"/>
  <c r="E16" i="13" s="1"/>
  <c r="S16" i="4"/>
  <c r="V27" i="4" s="1"/>
  <c r="Z15" i="4"/>
  <c r="W15" i="4"/>
  <c r="E15" i="13" s="1"/>
  <c r="S15" i="4"/>
  <c r="V26" i="4" s="1"/>
  <c r="Z14" i="4"/>
  <c r="W14" i="4"/>
  <c r="E14" i="13" s="1"/>
  <c r="S14" i="4"/>
  <c r="V25" i="4" s="1"/>
  <c r="Z13" i="4"/>
  <c r="W13" i="4"/>
  <c r="E13" i="13" s="1"/>
  <c r="S13" i="4"/>
  <c r="S18" i="4" s="1"/>
  <c r="AA12" i="4"/>
  <c r="Z12" i="4"/>
  <c r="W12" i="4"/>
  <c r="AA10" i="4" s="1"/>
  <c r="Z11" i="4"/>
  <c r="W11" i="4"/>
  <c r="E11" i="13" s="1"/>
  <c r="Z10" i="4"/>
  <c r="W10" i="4"/>
  <c r="E10" i="13" s="1"/>
  <c r="S10" i="4"/>
  <c r="E23" i="13" s="1"/>
  <c r="Z9" i="4"/>
  <c r="W9" i="4"/>
  <c r="E9" i="13" s="1"/>
  <c r="AA8" i="4"/>
  <c r="Z8" i="4"/>
  <c r="W8" i="4"/>
  <c r="E8" i="13" s="1"/>
  <c r="AA7" i="4"/>
  <c r="Z7" i="4"/>
  <c r="W7" i="4"/>
  <c r="AA5" i="4" s="1"/>
  <c r="F7" i="4"/>
  <c r="Z6" i="4"/>
  <c r="W6" i="4"/>
  <c r="E6" i="13" s="1"/>
  <c r="Z5" i="4"/>
  <c r="W5" i="4"/>
  <c r="E5" i="13" s="1"/>
  <c r="Z4" i="4"/>
  <c r="N4" i="4"/>
  <c r="AA3" i="4"/>
  <c r="Z3" i="4"/>
  <c r="S23" i="3"/>
  <c r="W20" i="3"/>
  <c r="D20" i="13" s="1"/>
  <c r="F20" i="3"/>
  <c r="F4" i="3" s="1"/>
  <c r="W19" i="3"/>
  <c r="AA17" i="3" s="1"/>
  <c r="AA18" i="3"/>
  <c r="Z18" i="3"/>
  <c r="W18" i="3"/>
  <c r="D18" i="13" s="1"/>
  <c r="Z17" i="3"/>
  <c r="W17" i="3"/>
  <c r="AA15" i="3" s="1"/>
  <c r="S17" i="3"/>
  <c r="Z16" i="3"/>
  <c r="W16" i="3"/>
  <c r="D16" i="13" s="1"/>
  <c r="S16" i="3"/>
  <c r="V27" i="3" s="1"/>
  <c r="Z15" i="3"/>
  <c r="W15" i="3"/>
  <c r="AA13" i="3" s="1"/>
  <c r="S15" i="3"/>
  <c r="V26" i="3" s="1"/>
  <c r="AA14" i="3"/>
  <c r="Z14" i="3"/>
  <c r="W14" i="3"/>
  <c r="D14" i="13" s="1"/>
  <c r="S14" i="3"/>
  <c r="S18" i="3" s="1"/>
  <c r="Z13" i="3"/>
  <c r="W13" i="3"/>
  <c r="D13" i="13" s="1"/>
  <c r="S13" i="3"/>
  <c r="V24" i="3" s="1"/>
  <c r="Z12" i="3"/>
  <c r="W12" i="3"/>
  <c r="D12" i="13" s="1"/>
  <c r="Z11" i="3"/>
  <c r="W11" i="3"/>
  <c r="AA9" i="3" s="1"/>
  <c r="Z10" i="3"/>
  <c r="W10" i="3"/>
  <c r="AA8" i="3" s="1"/>
  <c r="S10" i="3"/>
  <c r="Z9" i="3"/>
  <c r="W9" i="3"/>
  <c r="D9" i="13" s="1"/>
  <c r="Z8" i="3"/>
  <c r="W8" i="3"/>
  <c r="D8" i="13" s="1"/>
  <c r="AA7" i="3"/>
  <c r="Z7" i="3"/>
  <c r="W7" i="3"/>
  <c r="D7" i="13" s="1"/>
  <c r="F7" i="3"/>
  <c r="Z6" i="3"/>
  <c r="W6" i="3"/>
  <c r="D6" i="13" s="1"/>
  <c r="AA5" i="3"/>
  <c r="Z5" i="3"/>
  <c r="W5" i="3"/>
  <c r="D5" i="13" s="1"/>
  <c r="AA4" i="3"/>
  <c r="Z4" i="3"/>
  <c r="N4" i="3"/>
  <c r="AA3" i="3"/>
  <c r="Z3" i="3"/>
  <c r="V26" i="2"/>
  <c r="S23" i="2"/>
  <c r="W20" i="2"/>
  <c r="C20" i="13" s="1"/>
  <c r="F20" i="2"/>
  <c r="W19" i="2"/>
  <c r="C19" i="13" s="1"/>
  <c r="AA18" i="2"/>
  <c r="Z18" i="2"/>
  <c r="W18" i="2"/>
  <c r="AA16" i="2" s="1"/>
  <c r="AA17" i="2"/>
  <c r="Z17" i="2"/>
  <c r="X17" i="2"/>
  <c r="W17" i="2"/>
  <c r="C17" i="13" s="1"/>
  <c r="S17" i="2"/>
  <c r="Z16" i="2"/>
  <c r="X16" i="2"/>
  <c r="W16" i="2"/>
  <c r="C16" i="13" s="1"/>
  <c r="S16" i="2"/>
  <c r="V27" i="2" s="1"/>
  <c r="AA15" i="2"/>
  <c r="Z15" i="2"/>
  <c r="W15" i="2"/>
  <c r="C15" i="13" s="1"/>
  <c r="S15" i="2"/>
  <c r="AA14" i="2"/>
  <c r="Z14" i="2"/>
  <c r="W14" i="2"/>
  <c r="AA12" i="2" s="1"/>
  <c r="S14" i="2"/>
  <c r="V25" i="2" s="1"/>
  <c r="Z13" i="2"/>
  <c r="X13" i="2"/>
  <c r="W13" i="2"/>
  <c r="C13" i="13" s="1"/>
  <c r="S13" i="2"/>
  <c r="S18" i="2" s="1"/>
  <c r="Z12" i="2"/>
  <c r="W12" i="2"/>
  <c r="C12" i="13" s="1"/>
  <c r="Z11" i="2"/>
  <c r="W11" i="2"/>
  <c r="C11" i="13" s="1"/>
  <c r="AA10" i="2"/>
  <c r="Z10" i="2"/>
  <c r="W10" i="2"/>
  <c r="AA8" i="2" s="1"/>
  <c r="S10" i="2"/>
  <c r="C23" i="13" s="1"/>
  <c r="AA9" i="2"/>
  <c r="Z9" i="2"/>
  <c r="W9" i="2"/>
  <c r="C9" i="13" s="1"/>
  <c r="Z8" i="2"/>
  <c r="W8" i="2"/>
  <c r="C8" i="13" s="1"/>
  <c r="AA7" i="2"/>
  <c r="Z7" i="2"/>
  <c r="W7" i="2"/>
  <c r="C7" i="13" s="1"/>
  <c r="F7" i="2"/>
  <c r="Z6" i="2"/>
  <c r="W6" i="2"/>
  <c r="C6" i="13" s="1"/>
  <c r="AA5" i="2"/>
  <c r="Z5" i="2"/>
  <c r="W5" i="2"/>
  <c r="AA3" i="2" s="1"/>
  <c r="Z4" i="2"/>
  <c r="N4" i="2"/>
  <c r="F4" i="2"/>
  <c r="C22" i="13" s="1"/>
  <c r="Z3" i="2"/>
  <c r="V26" i="1"/>
  <c r="S23" i="1"/>
  <c r="S17" i="1" s="1"/>
  <c r="W20" i="1"/>
  <c r="B20" i="13" s="1"/>
  <c r="F20" i="1"/>
  <c r="W19" i="1"/>
  <c r="B19" i="13" s="1"/>
  <c r="Z18" i="1"/>
  <c r="W18" i="1"/>
  <c r="AA16" i="1" s="1"/>
  <c r="AA17" i="1"/>
  <c r="Z17" i="1"/>
  <c r="W17" i="1"/>
  <c r="B17" i="13" s="1"/>
  <c r="Z16" i="1"/>
  <c r="W16" i="1"/>
  <c r="B16" i="13" s="1"/>
  <c r="S16" i="1"/>
  <c r="V27" i="1" s="1"/>
  <c r="AA15" i="1"/>
  <c r="Z15" i="1"/>
  <c r="W15" i="1"/>
  <c r="B15" i="13" s="1"/>
  <c r="S15" i="1"/>
  <c r="AA14" i="1"/>
  <c r="Z14" i="1"/>
  <c r="W14" i="1"/>
  <c r="B14" i="13" s="1"/>
  <c r="S14" i="1"/>
  <c r="V25" i="1" s="1"/>
  <c r="Z13" i="1"/>
  <c r="W13" i="1"/>
  <c r="B13" i="13" s="1"/>
  <c r="S13" i="1"/>
  <c r="AA12" i="1"/>
  <c r="Z12" i="1"/>
  <c r="W12" i="1"/>
  <c r="B12" i="13" s="1"/>
  <c r="AA11" i="1"/>
  <c r="Z11" i="1"/>
  <c r="W11" i="1"/>
  <c r="B11" i="13" s="1"/>
  <c r="AA10" i="1"/>
  <c r="Z10" i="1"/>
  <c r="W10" i="1"/>
  <c r="AA8" i="1" s="1"/>
  <c r="S10" i="1"/>
  <c r="B23" i="13" s="1"/>
  <c r="Z9" i="1"/>
  <c r="W9" i="1"/>
  <c r="B9" i="13" s="1"/>
  <c r="Z8" i="1"/>
  <c r="W8" i="1"/>
  <c r="B8" i="13" s="1"/>
  <c r="Z7" i="1"/>
  <c r="W7" i="1"/>
  <c r="AA5" i="1" s="1"/>
  <c r="F7" i="1"/>
  <c r="AA6" i="1"/>
  <c r="Z6" i="1"/>
  <c r="W6" i="1"/>
  <c r="B6" i="13" s="1"/>
  <c r="Z5" i="1"/>
  <c r="W5" i="1"/>
  <c r="B5" i="13" s="1"/>
  <c r="Z4" i="1"/>
  <c r="N4" i="1"/>
  <c r="F4" i="1" s="1"/>
  <c r="Z3" i="1"/>
  <c r="S23" i="9"/>
  <c r="W20" i="9"/>
  <c r="AA18" i="9" s="1"/>
  <c r="F20" i="9"/>
  <c r="W19" i="9"/>
  <c r="AA17" i="9" s="1"/>
  <c r="Z18" i="9"/>
  <c r="W18" i="9"/>
  <c r="AA16" i="9" s="1"/>
  <c r="Z17" i="9"/>
  <c r="W17" i="9"/>
  <c r="J17" i="13" s="1"/>
  <c r="S17" i="9"/>
  <c r="Z16" i="9"/>
  <c r="W16" i="9"/>
  <c r="J16" i="13" s="1"/>
  <c r="S16" i="9"/>
  <c r="V27" i="9" s="1"/>
  <c r="Z15" i="9"/>
  <c r="W15" i="9"/>
  <c r="J15" i="13" s="1"/>
  <c r="S15" i="9"/>
  <c r="V26" i="9" s="1"/>
  <c r="Z14" i="9"/>
  <c r="W14" i="9"/>
  <c r="J14" i="13" s="1"/>
  <c r="S14" i="9"/>
  <c r="V25" i="9" s="1"/>
  <c r="Z13" i="9"/>
  <c r="W13" i="9"/>
  <c r="J13" i="13" s="1"/>
  <c r="S13" i="9"/>
  <c r="Z12" i="9"/>
  <c r="W12" i="9"/>
  <c r="AA10" i="9" s="1"/>
  <c r="Z11" i="9"/>
  <c r="W11" i="9"/>
  <c r="J11" i="13" s="1"/>
  <c r="Z10" i="9"/>
  <c r="W10" i="9"/>
  <c r="J10" i="13" s="1"/>
  <c r="S10" i="9"/>
  <c r="J23" i="13" s="1"/>
  <c r="Z9" i="9"/>
  <c r="W9" i="9"/>
  <c r="J9" i="13" s="1"/>
  <c r="Z8" i="9"/>
  <c r="W8" i="9"/>
  <c r="J8" i="13" s="1"/>
  <c r="Z7" i="9"/>
  <c r="W7" i="9"/>
  <c r="AA5" i="9" s="1"/>
  <c r="F7" i="9"/>
  <c r="Z6" i="9"/>
  <c r="W6" i="9"/>
  <c r="AA4" i="9" s="1"/>
  <c r="Z5" i="9"/>
  <c r="W5" i="9"/>
  <c r="J5" i="13" s="1"/>
  <c r="Z4" i="9"/>
  <c r="N4" i="9"/>
  <c r="Z3" i="9"/>
  <c r="F4" i="9" l="1"/>
  <c r="S18" i="9"/>
  <c r="S3" i="9" s="1"/>
  <c r="J24" i="13" s="1"/>
  <c r="AA7" i="9"/>
  <c r="AA12" i="9"/>
  <c r="AA3" i="9"/>
  <c r="AA8" i="9"/>
  <c r="AA13" i="9"/>
  <c r="X16" i="9"/>
  <c r="X11" i="9"/>
  <c r="X8" i="9"/>
  <c r="X18" i="9"/>
  <c r="X5" i="9"/>
  <c r="X9" i="9"/>
  <c r="X13" i="9"/>
  <c r="X10" i="9"/>
  <c r="X15" i="9"/>
  <c r="X7" i="9"/>
  <c r="J22" i="13"/>
  <c r="X20" i="9"/>
  <c r="X17" i="9"/>
  <c r="X12" i="9"/>
  <c r="X19" i="9"/>
  <c r="X14" i="9"/>
  <c r="X6" i="9"/>
  <c r="X13" i="7"/>
  <c r="X10" i="7"/>
  <c r="X15" i="7"/>
  <c r="X7" i="7"/>
  <c r="X20" i="7"/>
  <c r="X17" i="7"/>
  <c r="X12" i="7"/>
  <c r="X9" i="7"/>
  <c r="X19" i="7"/>
  <c r="X14" i="7"/>
  <c r="X6" i="7"/>
  <c r="X11" i="7"/>
  <c r="H22" i="13"/>
  <c r="X16" i="7"/>
  <c r="X8" i="7"/>
  <c r="X18" i="7"/>
  <c r="X5" i="7"/>
  <c r="X9" i="10"/>
  <c r="X19" i="10"/>
  <c r="X14" i="10"/>
  <c r="X6" i="10"/>
  <c r="X13" i="10"/>
  <c r="X16" i="10"/>
  <c r="X11" i="10"/>
  <c r="X8" i="10"/>
  <c r="K22" i="13"/>
  <c r="X18" i="10"/>
  <c r="X5" i="10"/>
  <c r="X10" i="10"/>
  <c r="X15" i="10"/>
  <c r="X7" i="10"/>
  <c r="X20" i="10"/>
  <c r="X17" i="10"/>
  <c r="X12" i="10"/>
  <c r="X9" i="5"/>
  <c r="X19" i="5"/>
  <c r="X16" i="5"/>
  <c r="X11" i="5"/>
  <c r="X13" i="5"/>
  <c r="X8" i="5"/>
  <c r="X18" i="5"/>
  <c r="X5" i="5"/>
  <c r="X10" i="5"/>
  <c r="X15" i="5"/>
  <c r="X7" i="5"/>
  <c r="F22" i="13"/>
  <c r="X20" i="5"/>
  <c r="X17" i="5"/>
  <c r="X14" i="5"/>
  <c r="X6" i="5"/>
  <c r="X12" i="5"/>
  <c r="S18" i="1"/>
  <c r="N16" i="13"/>
  <c r="S3" i="6"/>
  <c r="G24" i="13" s="1"/>
  <c r="S3" i="10"/>
  <c r="K24" i="13" s="1"/>
  <c r="X9" i="1"/>
  <c r="X19" i="1"/>
  <c r="B22" i="13"/>
  <c r="X16" i="1"/>
  <c r="X11" i="1"/>
  <c r="X8" i="1"/>
  <c r="X5" i="1"/>
  <c r="X18" i="1"/>
  <c r="X13" i="1"/>
  <c r="X10" i="1"/>
  <c r="X15" i="1"/>
  <c r="X7" i="1"/>
  <c r="X20" i="1"/>
  <c r="X17" i="1"/>
  <c r="X14" i="1"/>
  <c r="X6" i="1"/>
  <c r="X12" i="1"/>
  <c r="N9" i="13"/>
  <c r="N13" i="13"/>
  <c r="S3" i="3"/>
  <c r="D24" i="13" s="1"/>
  <c r="S18" i="11"/>
  <c r="X13" i="12"/>
  <c r="X10" i="12"/>
  <c r="X15" i="12"/>
  <c r="X7" i="12"/>
  <c r="M22" i="13"/>
  <c r="X20" i="12"/>
  <c r="X17" i="12"/>
  <c r="X12" i="12"/>
  <c r="X9" i="12"/>
  <c r="X19" i="12"/>
  <c r="X14" i="12"/>
  <c r="X6" i="12"/>
  <c r="X11" i="12"/>
  <c r="X16" i="12"/>
  <c r="X8" i="12"/>
  <c r="X18" i="12"/>
  <c r="X5" i="12"/>
  <c r="S18" i="12"/>
  <c r="S3" i="12" s="1"/>
  <c r="M24" i="13" s="1"/>
  <c r="N11" i="13"/>
  <c r="X16" i="4"/>
  <c r="X11" i="4"/>
  <c r="X8" i="4"/>
  <c r="X18" i="4"/>
  <c r="X5" i="4"/>
  <c r="X13" i="4"/>
  <c r="X10" i="4"/>
  <c r="X15" i="4"/>
  <c r="X7" i="4"/>
  <c r="X20" i="4"/>
  <c r="X17" i="4"/>
  <c r="X12" i="4"/>
  <c r="X9" i="4"/>
  <c r="X19" i="4"/>
  <c r="X14" i="4"/>
  <c r="X6" i="4"/>
  <c r="E22" i="13"/>
  <c r="D22" i="13"/>
  <c r="X13" i="3"/>
  <c r="X15" i="3"/>
  <c r="X7" i="3"/>
  <c r="X20" i="3"/>
  <c r="X17" i="3"/>
  <c r="X9" i="3"/>
  <c r="X12" i="3"/>
  <c r="X19" i="3"/>
  <c r="X14" i="3"/>
  <c r="X6" i="3"/>
  <c r="X11" i="3"/>
  <c r="X16" i="3"/>
  <c r="X8" i="3"/>
  <c r="X10" i="3"/>
  <c r="X18" i="3"/>
  <c r="X5" i="3"/>
  <c r="X16" i="8"/>
  <c r="X11" i="8"/>
  <c r="X18" i="8"/>
  <c r="X5" i="8"/>
  <c r="X13" i="8"/>
  <c r="X10" i="8"/>
  <c r="X15" i="8"/>
  <c r="X7" i="8"/>
  <c r="I22" i="13"/>
  <c r="X20" i="8"/>
  <c r="X17" i="8"/>
  <c r="X12" i="8"/>
  <c r="X9" i="8"/>
  <c r="X19" i="8"/>
  <c r="X14" i="8"/>
  <c r="X6" i="8"/>
  <c r="X8" i="8"/>
  <c r="V25" i="3"/>
  <c r="S18" i="7"/>
  <c r="AA13" i="8"/>
  <c r="X7" i="2"/>
  <c r="X15" i="2"/>
  <c r="V24" i="2"/>
  <c r="AA10" i="3"/>
  <c r="AA3" i="5"/>
  <c r="X7" i="6"/>
  <c r="X15" i="6"/>
  <c r="V24" i="6"/>
  <c r="AA10" i="7"/>
  <c r="AA3" i="10"/>
  <c r="X7" i="11"/>
  <c r="X15" i="11"/>
  <c r="AA17" i="11"/>
  <c r="V24" i="11"/>
  <c r="AA10" i="12"/>
  <c r="L5" i="13"/>
  <c r="J6" i="13"/>
  <c r="B10" i="13"/>
  <c r="J12" i="13"/>
  <c r="H13" i="13"/>
  <c r="D15" i="13"/>
  <c r="N15" i="13" s="1"/>
  <c r="J18" i="13"/>
  <c r="H19" i="13"/>
  <c r="F20" i="13"/>
  <c r="D23" i="13"/>
  <c r="N23" i="13" s="1"/>
  <c r="S3" i="1"/>
  <c r="B24" i="13" s="1"/>
  <c r="X20" i="2"/>
  <c r="AA13" i="4"/>
  <c r="S3" i="5"/>
  <c r="F24" i="13" s="1"/>
  <c r="X17" i="6"/>
  <c r="AA3" i="1"/>
  <c r="AA11" i="9"/>
  <c r="AA9" i="1"/>
  <c r="AA4" i="2"/>
  <c r="X10" i="2"/>
  <c r="S3" i="4"/>
  <c r="E24" i="13" s="1"/>
  <c r="AA11" i="4"/>
  <c r="AA16" i="4"/>
  <c r="AA4" i="6"/>
  <c r="X10" i="6"/>
  <c r="AA13" i="7"/>
  <c r="S3" i="8"/>
  <c r="I24" i="13" s="1"/>
  <c r="AA11" i="8"/>
  <c r="AA16" i="8"/>
  <c r="AA9" i="10"/>
  <c r="AA4" i="11"/>
  <c r="X10" i="11"/>
  <c r="M5" i="13"/>
  <c r="K6" i="13"/>
  <c r="I7" i="13"/>
  <c r="G8" i="13"/>
  <c r="N8" i="13" s="1"/>
  <c r="C10" i="13"/>
  <c r="G14" i="13"/>
  <c r="M17" i="13"/>
  <c r="K18" i="13"/>
  <c r="I19" i="13"/>
  <c r="AA18" i="12"/>
  <c r="J7" i="13"/>
  <c r="H8" i="13"/>
  <c r="F9" i="13"/>
  <c r="D10" i="13"/>
  <c r="H14" i="13"/>
  <c r="N14" i="13" s="1"/>
  <c r="F15" i="13"/>
  <c r="L18" i="13"/>
  <c r="J19" i="13"/>
  <c r="G22" i="13"/>
  <c r="V24" i="1"/>
  <c r="X5" i="2"/>
  <c r="X18" i="2"/>
  <c r="AA6" i="4"/>
  <c r="AA14" i="4"/>
  <c r="AA17" i="5"/>
  <c r="V24" i="5"/>
  <c r="X5" i="6"/>
  <c r="X18" i="6"/>
  <c r="AA8" i="7"/>
  <c r="AA6" i="8"/>
  <c r="AA14" i="8"/>
  <c r="V24" i="10"/>
  <c r="X5" i="11"/>
  <c r="X18" i="11"/>
  <c r="C5" i="13"/>
  <c r="N5" i="13" s="1"/>
  <c r="K7" i="13"/>
  <c r="G15" i="13"/>
  <c r="M18" i="13"/>
  <c r="I20" i="13"/>
  <c r="G23" i="13"/>
  <c r="AA6" i="9"/>
  <c r="AA14" i="9"/>
  <c r="AA9" i="9"/>
  <c r="AA4" i="1"/>
  <c r="X8" i="2"/>
  <c r="AA13" i="2"/>
  <c r="AA11" i="3"/>
  <c r="AA16" i="3"/>
  <c r="AA9" i="4"/>
  <c r="AA4" i="5"/>
  <c r="X8" i="6"/>
  <c r="S3" i="7"/>
  <c r="H24" i="13" s="1"/>
  <c r="AA16" i="7"/>
  <c r="AA9" i="8"/>
  <c r="X8" i="11"/>
  <c r="AA13" i="11"/>
  <c r="AA11" i="12"/>
  <c r="F10" i="13"/>
  <c r="D11" i="13"/>
  <c r="L13" i="13"/>
  <c r="D17" i="13"/>
  <c r="N17" i="13" s="1"/>
  <c r="B18" i="13"/>
  <c r="J20" i="13"/>
  <c r="I9" i="13"/>
  <c r="G10" i="13"/>
  <c r="E17" i="13"/>
  <c r="C18" i="13"/>
  <c r="M19" i="13"/>
  <c r="K20" i="13"/>
  <c r="AA7" i="1"/>
  <c r="X16" i="11"/>
  <c r="AA6" i="3"/>
  <c r="AA17" i="4"/>
  <c r="V24" i="4"/>
  <c r="V24" i="8"/>
  <c r="AA8" i="11"/>
  <c r="AA6" i="12"/>
  <c r="B7" i="13"/>
  <c r="L8" i="13"/>
  <c r="L14" i="13"/>
  <c r="V24" i="9"/>
  <c r="AA13" i="1"/>
  <c r="S3" i="2"/>
  <c r="C24" i="13" s="1"/>
  <c r="X6" i="2"/>
  <c r="AA11" i="2"/>
  <c r="X14" i="2"/>
  <c r="X19" i="2"/>
  <c r="AA4" i="4"/>
  <c r="X6" i="6"/>
  <c r="AA11" i="6"/>
  <c r="X14" i="6"/>
  <c r="AA16" i="6"/>
  <c r="X19" i="6"/>
  <c r="AA9" i="7"/>
  <c r="AA4" i="8"/>
  <c r="AA13" i="10"/>
  <c r="S3" i="11"/>
  <c r="L24" i="13" s="1"/>
  <c r="X6" i="11"/>
  <c r="X14" i="11"/>
  <c r="X19" i="11"/>
  <c r="G5" i="13"/>
  <c r="E12" i="13"/>
  <c r="M14" i="13"/>
  <c r="L22" i="13"/>
  <c r="K23" i="13"/>
  <c r="AA15" i="9"/>
  <c r="AA18" i="1"/>
  <c r="X9" i="2"/>
  <c r="AA12" i="3"/>
  <c r="AA5" i="5"/>
  <c r="X9" i="6"/>
  <c r="AA15" i="8"/>
  <c r="X9" i="11"/>
  <c r="H17" i="13"/>
  <c r="F18" i="13"/>
  <c r="D19" i="13"/>
  <c r="X11" i="2"/>
  <c r="X11" i="6"/>
  <c r="X16" i="6"/>
  <c r="AA6" i="2"/>
  <c r="X12" i="2"/>
  <c r="X12" i="6"/>
  <c r="AA10" i="8"/>
  <c r="AA8" i="10"/>
  <c r="X12" i="11"/>
  <c r="V24" i="12"/>
  <c r="E7" i="13"/>
  <c r="C14" i="13"/>
  <c r="X17" i="11"/>
  <c r="AA18" i="4"/>
  <c r="N19" i="13" l="1"/>
  <c r="N6" i="13"/>
  <c r="N20" i="13"/>
  <c r="N12" i="13"/>
  <c r="N18" i="13"/>
  <c r="N22" i="13"/>
  <c r="N24" i="13"/>
  <c r="N7" i="13"/>
  <c r="N10" i="13"/>
</calcChain>
</file>

<file path=xl/sharedStrings.xml><?xml version="1.0" encoding="utf-8"?>
<sst xmlns="http://schemas.openxmlformats.org/spreadsheetml/2006/main" count="1119" uniqueCount="124">
  <si>
    <t>Janeiro</t>
  </si>
  <si>
    <t>Categoria</t>
  </si>
  <si>
    <t>Valor gasto</t>
  </si>
  <si>
    <t>Saldo:</t>
  </si>
  <si>
    <t>Gastos do mês por categoria:</t>
  </si>
  <si>
    <t>Total de gastos:</t>
  </si>
  <si>
    <t>Total de Gastos do Mês:</t>
  </si>
  <si>
    <t>Valor esperado</t>
  </si>
  <si>
    <t>Porcentagem</t>
  </si>
  <si>
    <t>Mercado</t>
  </si>
  <si>
    <t>Gastos do Mês</t>
  </si>
  <si>
    <t>Despesas eventuais</t>
  </si>
  <si>
    <t>Total de Fixos:</t>
  </si>
  <si>
    <t>Nome</t>
  </si>
  <si>
    <t>Data</t>
  </si>
  <si>
    <t>Tipo</t>
  </si>
  <si>
    <t>Valor</t>
  </si>
  <si>
    <t>Entradas</t>
  </si>
  <si>
    <t>Necessidades</t>
  </si>
  <si>
    <t>Salário</t>
  </si>
  <si>
    <t>Roupa</t>
  </si>
  <si>
    <t>Fixos</t>
  </si>
  <si>
    <t>Bônus</t>
  </si>
  <si>
    <t>Saúde</t>
  </si>
  <si>
    <t>Pago?</t>
  </si>
  <si>
    <t>Total</t>
  </si>
  <si>
    <t>Presentes</t>
  </si>
  <si>
    <t>Beleza</t>
  </si>
  <si>
    <t>Saídas</t>
  </si>
  <si>
    <t>Desenvolvimento</t>
  </si>
  <si>
    <t>Débito</t>
  </si>
  <si>
    <t>Lazer</t>
  </si>
  <si>
    <t>Nubank</t>
  </si>
  <si>
    <t>Eletrônicos</t>
  </si>
  <si>
    <t>Inter</t>
  </si>
  <si>
    <t>Assinaturas</t>
  </si>
  <si>
    <t>Itaú</t>
  </si>
  <si>
    <t>Uber transporte</t>
  </si>
  <si>
    <t>Investimentos</t>
  </si>
  <si>
    <t>iFood/restaurante</t>
  </si>
  <si>
    <t>Comida faculdade</t>
  </si>
  <si>
    <t>Contas</t>
  </si>
  <si>
    <t>Total de Parcelamentos</t>
  </si>
  <si>
    <t>Outros</t>
  </si>
  <si>
    <t>Reserva</t>
  </si>
  <si>
    <t>Parcelamentos</t>
  </si>
  <si>
    <t>Renda fixa</t>
  </si>
  <si>
    <t>Gastos por tipo de pagamento</t>
  </si>
  <si>
    <t>Parcelas</t>
  </si>
  <si>
    <t>☐</t>
  </si>
  <si>
    <t>Porcentagem de gastos por categoria</t>
  </si>
  <si>
    <t>Fevereiro</t>
  </si>
  <si>
    <t>Março</t>
  </si>
  <si>
    <t>Abril</t>
  </si>
  <si>
    <t>Maio</t>
  </si>
  <si>
    <t>Junho</t>
  </si>
  <si>
    <t>Julho</t>
  </si>
  <si>
    <t>Agosto</t>
  </si>
  <si>
    <t>Uber</t>
  </si>
  <si>
    <t>Academia</t>
  </si>
  <si>
    <t>Hambúrguer jantar</t>
  </si>
  <si>
    <t>Conta de água</t>
  </si>
  <si>
    <t>Almoço trabalho</t>
  </si>
  <si>
    <t>Internet</t>
  </si>
  <si>
    <t>Farmácia</t>
  </si>
  <si>
    <t>Amazon Prime</t>
  </si>
  <si>
    <t>Café faculdade</t>
  </si>
  <si>
    <t>iCloud</t>
  </si>
  <si>
    <t>Frutas</t>
  </si>
  <si>
    <t>Conta de luz</t>
  </si>
  <si>
    <t>Adicional Claro</t>
  </si>
  <si>
    <t>Spotify</t>
  </si>
  <si>
    <t>iFood jantar</t>
  </si>
  <si>
    <t>Reservatório de Dopamina</t>
  </si>
  <si>
    <t>Uber trabalho</t>
  </si>
  <si>
    <t>Jantar poke</t>
  </si>
  <si>
    <t>Restrição alérgica</t>
  </si>
  <si>
    <t>Depilação a laser</t>
  </si>
  <si>
    <t>5/12</t>
  </si>
  <si>
    <t>Fone de ouvido</t>
  </si>
  <si>
    <t>5/5</t>
  </si>
  <si>
    <t>Almoço delivery</t>
  </si>
  <si>
    <t>Roupa de treino</t>
  </si>
  <si>
    <t>4/4</t>
  </si>
  <si>
    <t>Pão e café</t>
  </si>
  <si>
    <t>Maquiagem Oceane</t>
  </si>
  <si>
    <t>3/3</t>
  </si>
  <si>
    <t>Escova de cabelo</t>
  </si>
  <si>
    <t>2/2</t>
  </si>
  <si>
    <t>Vestido</t>
  </si>
  <si>
    <t>2/3</t>
  </si>
  <si>
    <t>Blush Sheglam</t>
  </si>
  <si>
    <t>Tênis esporte</t>
  </si>
  <si>
    <t>2/6</t>
  </si>
  <si>
    <t>Roupa viagem</t>
  </si>
  <si>
    <t>Itens Shopee</t>
  </si>
  <si>
    <t>1/3</t>
  </si>
  <si>
    <t>Setembro</t>
  </si>
  <si>
    <t>Outubro</t>
  </si>
  <si>
    <t>Novembro</t>
  </si>
  <si>
    <t>Dezembro</t>
  </si>
  <si>
    <t>Resumo Anual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</si>
  <si>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</si>
  <si>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</si>
  <si>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</si>
  <si>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</si>
  <si>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</si>
  <si>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</si>
  <si>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</si>
  <si>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</si>
  <si>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</si>
  <si>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</si>
  <si>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</si>
  <si>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</si>
  <si>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 de Gastos</t>
  </si>
  <si>
    <t>Total de Entradas</t>
  </si>
  <si>
    <t>Saldo</t>
  </si>
  <si>
    <t>Categorias e formas de pagamento</t>
  </si>
  <si>
    <t>Categorias</t>
  </si>
  <si>
    <t>Cor</t>
  </si>
  <si>
    <t>Tipo de pagamento</t>
  </si>
  <si>
    <t>Referência visual: https://br.pinterest.com/pin/957296464540945222/</t>
  </si>
  <si>
    <t>Faculdade</t>
  </si>
  <si>
    <t>Fatura Cartão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</si>
</sst>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5" formatCode="dd/mm"/>
  </numFmts>
  <fonts count="13" x14ac:knownFonts="1">
    <font>
      <sz val="11"/>
      <name val="Calibri"/>
      <charset val="1"/>
    </font>
    <font>
      <sz val="10"/>
      <color rgb="FF5D2745"/>
      <name val="Aptos"/>
      <charset val="1"/>
    </font>
    <font>
      <b/>
      <sz val="24"/>
      <color rgb="FF970047"/>
      <name val="Georgia"/>
      <charset val="1"/>
    </font>
    <font>
      <b/>
      <sz val="12"/>
      <color rgb="FF970047"/>
      <name val="Georgia"/>
      <charset val="1"/>
    </font>
    <font>
      <b/>
      <sz val="10"/>
      <color rgb="FFFFFFFF"/>
      <name val="Georgia"/>
      <charset val="1"/>
    </font>
    <font>
      <b/>
      <sz val="13"/>
      <color rgb="FF970047"/>
      <name val="Georgia"/>
      <charset val="1"/>
    </font>
    <font>
      <b/>
      <sz val="9"/>
      <color rgb="FF5D2745"/>
      <name val="Georgia"/>
      <charset val="1"/>
    </font>
    <font>
      <sz val="9"/>
      <color rgb="FF5D2745"/>
      <name val="Aptos"/>
      <charset val="1"/>
    </font>
    <font>
      <b/>
      <sz val="11"/>
      <color rgb="FFFFFFFF"/>
      <name val="Georgia"/>
      <charset val="1"/>
    </font>
    <font>
      <b/>
      <sz val="10"/>
      <color rgb="FF5D2745"/>
      <name val="Georgia"/>
      <charset val="1"/>
    </font>
    <font>
      <b/>
      <sz val="10"/>
      <color rgb="FF5D2745"/>
      <name val="Aptos"/>
      <charset val="1"/>
    </font>
    <font>
      <b/>
      <sz val="14"/>
      <color rgb="FFFFFFFF"/>
      <name val="Georgia"/>
      <charset val="1"/>
    </font>
    <font>
      <i/>
      <sz val="9"/>
      <color rgb="FF5D2745"/>
      <name val="Aptos"/>
      <charset val="1"/>
    </font>
  </fonts>
  <fills count="27">
    <fill>
      <patternFill patternType="none"/>
    </fill>
    <fill>
      <patternFill patternType="gray125"/>
    </fill>
    <fill>
      <patternFill patternType="solid">
        <fgColor rgb="FFF7D4E7"/>
        <bgColor rgb="FFFBE4F0"/>
      </patternFill>
    </fill>
    <fill>
      <patternFill patternType="solid">
        <fgColor rgb="FFFBE4F0"/>
        <bgColor rgb="FFF7D4E7"/>
      </patternFill>
    </fill>
    <fill>
      <patternFill patternType="solid">
        <fgColor rgb="FFCF005E"/>
        <bgColor rgb="FF970047"/>
      </patternFill>
    </fill>
    <fill>
      <patternFill patternType="mediumGray">
        <fgColor rgb="FFFFC7D0"/>
        <bgColor rgb="FFF7D4E7"/>
      </patternFill>
    </fill>
    <fill>
      <patternFill patternType="solid">
        <fgColor rgb="FFF6DD72"/>
        <bgColor rgb="FFFFE07A"/>
      </patternFill>
    </fill>
    <fill>
      <patternFill patternType="solid">
        <fgColor rgb="FFF078A6"/>
        <bgColor rgb="FFD681AF"/>
      </patternFill>
    </fill>
    <fill>
      <patternFill patternType="solid">
        <fgColor rgb="FFF2A7B8"/>
        <bgColor rgb="FFE5A9C8"/>
      </patternFill>
    </fill>
    <fill>
      <patternFill patternType="solid">
        <fgColor rgb="FFCDB2ED"/>
        <bgColor rgb="FFD8B9EE"/>
      </patternFill>
    </fill>
    <fill>
      <patternFill patternType="solid">
        <fgColor rgb="FFD8B9EE"/>
        <bgColor rgb="FFCDB2ED"/>
      </patternFill>
    </fill>
    <fill>
      <patternFill patternType="solid">
        <fgColor rgb="FFFFE07A"/>
        <bgColor rgb="FFF6DD72"/>
      </patternFill>
    </fill>
    <fill>
      <patternFill patternType="solid">
        <fgColor rgb="FF68D5E5"/>
        <bgColor rgb="FF8DDCD9"/>
      </patternFill>
    </fill>
    <fill>
      <patternFill patternType="solid">
        <fgColor rgb="FFF3B76C"/>
        <bgColor rgb="FFF4C76B"/>
      </patternFill>
    </fill>
    <fill>
      <patternFill patternType="solid">
        <fgColor rgb="FF8DDCD9"/>
        <bgColor rgb="FF91D3B5"/>
      </patternFill>
    </fill>
    <fill>
      <patternFill patternType="solid">
        <fgColor rgb="FFBBD8F3"/>
        <bgColor rgb="FFC0C5E8"/>
      </patternFill>
    </fill>
    <fill>
      <patternFill patternType="solid">
        <fgColor rgb="FFD2398A"/>
        <bgColor rgb="FFCF005E"/>
      </patternFill>
    </fill>
    <fill>
      <patternFill patternType="solid">
        <fgColor rgb="FF91D3B5"/>
        <bgColor rgb="FF8DDCD9"/>
      </patternFill>
    </fill>
    <fill>
      <patternFill patternType="solid">
        <fgColor rgb="FFA9DF9E"/>
        <bgColor rgb="FF91D3B5"/>
      </patternFill>
    </fill>
    <fill>
      <patternFill patternType="solid">
        <fgColor rgb="FFF37D72"/>
        <bgColor rgb="FFF078A6"/>
      </patternFill>
    </fill>
    <fill>
      <patternFill patternType="solid">
        <fgColor rgb="FFF4C76B"/>
        <bgColor rgb="FFF3B76C"/>
      </patternFill>
    </fill>
    <fill>
      <patternFill patternType="solid">
        <fgColor rgb="FFC0C5E8"/>
        <bgColor rgb="FFBBD8F3"/>
      </patternFill>
    </fill>
    <fill>
      <patternFill patternType="solid">
        <fgColor rgb="FFB29AE6"/>
        <bgColor rgb="FFCDB2ED"/>
      </patternFill>
    </fill>
    <fill>
      <patternFill patternType="solid">
        <fgColor rgb="FFD6EA6D"/>
        <bgColor rgb="FFF6DD72"/>
      </patternFill>
    </fill>
    <fill>
      <patternFill patternType="solid">
        <fgColor rgb="FFE58BC0"/>
        <bgColor rgb="FFD681AF"/>
      </patternFill>
    </fill>
    <fill>
      <patternFill patternType="solid">
        <fgColor rgb="FFD8D8D8"/>
        <bgColor rgb="FFF7D4E7"/>
      </patternFill>
    </fill>
    <fill>
      <patternFill patternType="mediumGray">
        <fgColor rgb="FFFBE4F0"/>
        <bgColor rgb="FFFFFFFF"/>
      </patternFill>
    </fill>
  </fills>
  <borders count="19">
    <border>
      <left/>
      <right/>
      <top/>
      <bottom/>
      <diagonal/>
    </border>
    <border>
      <left style="thin">
        <color rgb="FFD681AF"/>
      </left>
      <right/>
      <top style="thin">
        <color rgb="FFD681AF"/>
      </top>
      <bottom style="thin">
        <color rgb="FFD681AF"/>
      </bottom>
      <diagonal/>
    </border>
    <border>
      <left/>
      <right style="thin">
        <color rgb="FFD681AF"/>
      </right>
      <top style="thin">
        <color rgb="FFD681AF"/>
      </top>
      <bottom style="thin">
        <color rgb="FFD681AF"/>
      </bottom>
      <diagonal/>
    </border>
    <border>
      <left style="medium">
        <color rgb="FF970047"/>
      </left>
      <right style="medium">
        <color rgb="FF970047"/>
      </right>
      <top style="medium">
        <color rgb="FF970047"/>
      </top>
      <bottom style="thin">
        <color rgb="FF970047"/>
      </bottom>
      <diagonal/>
    </border>
    <border>
      <left style="dashed">
        <color rgb="FFD681AF"/>
      </left>
      <right/>
      <top style="dashed">
        <color rgb="FFD681AF"/>
      </top>
      <bottom style="dashed">
        <color rgb="FFD681AF"/>
      </bottom>
      <diagonal/>
    </border>
    <border>
      <left/>
      <right style="dashed">
        <color rgb="FFD681AF"/>
      </right>
      <top style="dashed">
        <color rgb="FFD681AF"/>
      </top>
      <bottom style="dashed">
        <color rgb="FFD681AF"/>
      </bottom>
      <diagonal/>
    </border>
    <border>
      <left style="thin">
        <color rgb="FF970047"/>
      </left>
      <right/>
      <top style="thin">
        <color rgb="FF970047"/>
      </top>
      <bottom style="thin">
        <color rgb="FF970047"/>
      </bottom>
      <diagonal/>
    </border>
    <border>
      <left/>
      <right style="thin">
        <color rgb="FF970047"/>
      </right>
      <top style="thin">
        <color rgb="FF970047"/>
      </top>
      <bottom style="thin">
        <color rgb="FF970047"/>
      </bottom>
      <diagonal/>
    </border>
    <border>
      <left style="medium">
        <color rgb="FF970047"/>
      </left>
      <right style="thin">
        <color rgb="FFD681AF"/>
      </right>
      <top style="thin">
        <color rgb="FFD681AF"/>
      </top>
      <bottom style="thin">
        <color rgb="FFD681AF"/>
      </bottom>
      <diagonal/>
    </border>
    <border>
      <left style="thin">
        <color rgb="FFD681AF"/>
      </left>
      <right style="thin">
        <color rgb="FFD681AF"/>
      </right>
      <top style="thin">
        <color rgb="FFD681AF"/>
      </top>
      <bottom style="thin">
        <color rgb="FFD681AF"/>
      </bottom>
      <diagonal/>
    </border>
    <border>
      <left style="thin">
        <color rgb="FFD681AF"/>
      </left>
      <right style="medium">
        <color rgb="FF970047"/>
      </right>
      <top style="thin">
        <color rgb="FFD681AF"/>
      </top>
      <bottom style="thin">
        <color rgb="FFD681AF"/>
      </bottom>
      <diagonal/>
    </border>
    <border>
      <left style="medium">
        <color rgb="FF970047"/>
      </left>
      <right style="thin">
        <color rgb="FFE5A9C8"/>
      </right>
      <top style="thin">
        <color rgb="FFE5A9C8"/>
      </top>
      <bottom style="thin">
        <color rgb="FFE5A9C8"/>
      </bottom>
      <diagonal/>
    </border>
    <border>
      <left style="thin">
        <color rgb="FFE5A9C8"/>
      </left>
      <right style="thin">
        <color rgb="FFE5A9C8"/>
      </right>
      <top style="thin">
        <color rgb="FFE5A9C8"/>
      </top>
      <bottom style="thin">
        <color rgb="FFE5A9C8"/>
      </bottom>
      <diagonal/>
    </border>
    <border>
      <left style="thin">
        <color rgb="FFE5A9C8"/>
      </left>
      <right style="medium">
        <color rgb="FF970047"/>
      </right>
      <top style="thin">
        <color rgb="FFE5A9C8"/>
      </top>
      <bottom style="thin">
        <color rgb="FFE5A9C8"/>
      </bottom>
      <diagonal/>
    </border>
    <border>
      <left style="medium">
        <color rgb="FF970047"/>
      </left>
      <right style="thin">
        <color rgb="FFE5A9C8"/>
      </right>
      <top style="thin">
        <color rgb="FFE5A9C8"/>
      </top>
      <bottom style="medium">
        <color rgb="FF970047"/>
      </bottom>
      <diagonal/>
    </border>
    <border>
      <left style="thin">
        <color rgb="FFE5A9C8"/>
      </left>
      <right style="medium">
        <color rgb="FF970047"/>
      </right>
      <top style="thin">
        <color rgb="FFE5A9C8"/>
      </top>
      <bottom style="medium">
        <color rgb="FF970047"/>
      </bottom>
      <diagonal/>
    </border>
    <border>
      <left style="thin">
        <color rgb="FFE5A9C8"/>
      </left>
      <right style="thin">
        <color rgb="FFE5A9C8"/>
      </right>
      <top style="thin">
        <color rgb="FFE5A9C8"/>
      </top>
      <bottom style="medium">
        <color rgb="FF970047"/>
      </bottom>
      <diagonal/>
    </border>
    <border>
      <left style="thin">
        <color rgb="FF970047"/>
      </left>
      <right style="thin">
        <color rgb="FF970047"/>
      </right>
      <top style="thin">
        <color rgb="FF970047"/>
      </top>
      <bottom style="thin">
        <color rgb="FF970047"/>
      </bottom>
      <diagonal/>
    </border>
    <border>
      <left style="thin">
        <color rgb="FFD8B9EE"/>
      </left>
      <right style="thin">
        <color rgb="FFD8B9EE"/>
      </right>
      <top style="thin">
        <color rgb="FFD8B9EE"/>
      </top>
      <bottom style="thin">
        <color rgb="FFD8B9EE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8" fillId="4" borderId="17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164" fontId="4" fillId="4" borderId="7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vertical="center"/>
    </xf>
    <xf numFmtId="164" fontId="7" fillId="3" borderId="12" xfId="0" applyNumberFormat="1" applyFont="1" applyFill="1" applyBorder="1" applyAlignment="1">
      <alignment horizontal="right" vertical="center"/>
    </xf>
    <xf numFmtId="10" fontId="7" fillId="3" borderId="13" xfId="0" applyNumberFormat="1" applyFont="1" applyFill="1" applyBorder="1" applyAlignment="1">
      <alignment horizontal="right" vertical="center"/>
    </xf>
    <xf numFmtId="165" fontId="7" fillId="3" borderId="12" xfId="0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164" fontId="7" fillId="3" borderId="13" xfId="0" applyNumberFormat="1" applyFont="1" applyFill="1" applyBorder="1" applyAlignment="1">
      <alignment horizontal="right" vertical="center"/>
    </xf>
    <xf numFmtId="164" fontId="7" fillId="3" borderId="13" xfId="0" applyNumberFormat="1" applyFont="1" applyFill="1" applyBorder="1" applyAlignment="1">
      <alignment vertical="center"/>
    </xf>
    <xf numFmtId="0" fontId="6" fillId="3" borderId="14" xfId="0" applyFont="1" applyFill="1" applyBorder="1" applyAlignment="1">
      <alignment vertical="center"/>
    </xf>
    <xf numFmtId="164" fontId="6" fillId="3" borderId="15" xfId="0" applyNumberFormat="1" applyFont="1" applyFill="1" applyBorder="1" applyAlignment="1">
      <alignment vertical="center"/>
    </xf>
    <xf numFmtId="0" fontId="7" fillId="3" borderId="14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165" fontId="7" fillId="3" borderId="16" xfId="0" applyNumberFormat="1" applyFont="1" applyFill="1" applyBorder="1" applyAlignment="1">
      <alignment horizontal="center" vertical="center"/>
    </xf>
    <xf numFmtId="164" fontId="7" fillId="3" borderId="15" xfId="0" applyNumberFormat="1" applyFont="1" applyFill="1" applyBorder="1" applyAlignment="1">
      <alignment horizontal="right" vertical="center"/>
    </xf>
    <xf numFmtId="164" fontId="7" fillId="3" borderId="16" xfId="0" applyNumberFormat="1" applyFont="1" applyFill="1" applyBorder="1" applyAlignment="1">
      <alignment horizontal="right" vertical="center"/>
    </xf>
    <xf numFmtId="10" fontId="7" fillId="3" borderId="15" xfId="0" applyNumberFormat="1" applyFont="1" applyFill="1" applyBorder="1" applyAlignment="1">
      <alignment horizontal="right" vertical="center"/>
    </xf>
    <xf numFmtId="164" fontId="7" fillId="3" borderId="12" xfId="0" applyNumberFormat="1" applyFont="1" applyFill="1" applyBorder="1" applyAlignment="1">
      <alignment vertical="center"/>
    </xf>
    <xf numFmtId="165" fontId="7" fillId="3" borderId="12" xfId="0" applyNumberFormat="1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164" fontId="7" fillId="3" borderId="16" xfId="0" applyNumberFormat="1" applyFont="1" applyFill="1" applyBorder="1" applyAlignment="1">
      <alignment vertical="center"/>
    </xf>
    <xf numFmtId="165" fontId="7" fillId="3" borderId="16" xfId="0" applyNumberFormat="1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9" fillId="3" borderId="18" xfId="0" applyFont="1" applyFill="1" applyBorder="1"/>
    <xf numFmtId="0" fontId="9" fillId="3" borderId="18" xfId="0" applyFont="1" applyFill="1" applyBorder="1" applyAlignment="1">
      <alignment horizontal="center"/>
    </xf>
    <xf numFmtId="0" fontId="1" fillId="0" borderId="18" xfId="0" applyFont="1" applyBorder="1"/>
    <xf numFmtId="164" fontId="1" fillId="0" borderId="18" xfId="0" applyNumberFormat="1" applyFont="1" applyBorder="1"/>
    <xf numFmtId="164" fontId="10" fillId="0" borderId="18" xfId="0" applyNumberFormat="1" applyFont="1" applyBorder="1"/>
    <xf numFmtId="0" fontId="10" fillId="0" borderId="0" xfId="0" applyFont="1"/>
    <xf numFmtId="164" fontId="1" fillId="0" borderId="0" xfId="0" applyNumberFormat="1" applyFont="1"/>
    <xf numFmtId="164" fontId="10" fillId="0" borderId="0" xfId="0" applyNumberFormat="1" applyFont="1"/>
    <xf numFmtId="0" fontId="10" fillId="5" borderId="0" xfId="0" applyFont="1" applyFill="1"/>
    <xf numFmtId="164" fontId="10" fillId="5" borderId="0" xfId="0" applyNumberFormat="1" applyFont="1" applyFill="1"/>
    <xf numFmtId="0" fontId="1" fillId="2" borderId="0" xfId="0" applyFont="1" applyFill="1"/>
    <xf numFmtId="0" fontId="7" fillId="3" borderId="12" xfId="0" applyFont="1" applyFill="1" applyBorder="1" applyAlignment="1">
      <alignment vertical="center"/>
    </xf>
    <xf numFmtId="0" fontId="7" fillId="6" borderId="12" xfId="0" applyFont="1" applyFill="1" applyBorder="1" applyAlignment="1">
      <alignment vertical="center"/>
    </xf>
    <xf numFmtId="0" fontId="7" fillId="7" borderId="12" xfId="0" applyFont="1" applyFill="1" applyBorder="1" applyAlignment="1">
      <alignment vertical="center"/>
    </xf>
    <xf numFmtId="0" fontId="7" fillId="8" borderId="12" xfId="0" applyFont="1" applyFill="1" applyBorder="1" applyAlignment="1">
      <alignment vertical="center"/>
    </xf>
    <xf numFmtId="0" fontId="7" fillId="9" borderId="12" xfId="0" applyFont="1" applyFill="1" applyBorder="1" applyAlignment="1">
      <alignment vertical="center"/>
    </xf>
    <xf numFmtId="0" fontId="7" fillId="10" borderId="12" xfId="0" applyFont="1" applyFill="1" applyBorder="1" applyAlignment="1">
      <alignment vertical="center"/>
    </xf>
    <xf numFmtId="0" fontId="7" fillId="11" borderId="12" xfId="0" applyFont="1" applyFill="1" applyBorder="1" applyAlignment="1">
      <alignment vertical="center"/>
    </xf>
    <xf numFmtId="0" fontId="7" fillId="12" borderId="12" xfId="0" applyFont="1" applyFill="1" applyBorder="1" applyAlignment="1">
      <alignment vertical="center"/>
    </xf>
    <xf numFmtId="0" fontId="7" fillId="13" borderId="12" xfId="0" applyFont="1" applyFill="1" applyBorder="1" applyAlignment="1">
      <alignment vertical="center"/>
    </xf>
    <xf numFmtId="0" fontId="7" fillId="14" borderId="12" xfId="0" applyFont="1" applyFill="1" applyBorder="1" applyAlignment="1">
      <alignment vertical="center"/>
    </xf>
    <xf numFmtId="0" fontId="7" fillId="15" borderId="12" xfId="0" applyFont="1" applyFill="1" applyBorder="1" applyAlignment="1">
      <alignment vertical="center"/>
    </xf>
    <xf numFmtId="0" fontId="7" fillId="16" borderId="12" xfId="0" applyFont="1" applyFill="1" applyBorder="1" applyAlignment="1">
      <alignment vertical="center"/>
    </xf>
    <xf numFmtId="0" fontId="7" fillId="17" borderId="12" xfId="0" applyFont="1" applyFill="1" applyBorder="1" applyAlignment="1">
      <alignment vertical="center"/>
    </xf>
    <xf numFmtId="0" fontId="7" fillId="18" borderId="12" xfId="0" applyFont="1" applyFill="1" applyBorder="1" applyAlignment="1">
      <alignment vertical="center"/>
    </xf>
    <xf numFmtId="0" fontId="7" fillId="19" borderId="12" xfId="0" applyFont="1" applyFill="1" applyBorder="1" applyAlignment="1">
      <alignment vertical="center"/>
    </xf>
    <xf numFmtId="0" fontId="7" fillId="20" borderId="12" xfId="0" applyFont="1" applyFill="1" applyBorder="1" applyAlignment="1">
      <alignment vertical="center"/>
    </xf>
    <xf numFmtId="0" fontId="7" fillId="21" borderId="12" xfId="0" applyFont="1" applyFill="1" applyBorder="1" applyAlignment="1">
      <alignment vertical="center"/>
    </xf>
    <xf numFmtId="0" fontId="7" fillId="22" borderId="12" xfId="0" applyFont="1" applyFill="1" applyBorder="1" applyAlignment="1">
      <alignment vertical="center"/>
    </xf>
    <xf numFmtId="0" fontId="7" fillId="23" borderId="12" xfId="0" applyFont="1" applyFill="1" applyBorder="1" applyAlignment="1">
      <alignment vertical="center"/>
    </xf>
    <xf numFmtId="0" fontId="7" fillId="24" borderId="12" xfId="0" applyFont="1" applyFill="1" applyBorder="1" applyAlignment="1">
      <alignment vertical="center"/>
    </xf>
    <xf numFmtId="0" fontId="7" fillId="25" borderId="12" xfId="0" applyFont="1" applyFill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4" borderId="17" xfId="0" applyFont="1" applyFill="1" applyBorder="1" applyAlignment="1">
      <alignment horizontal="center" vertical="center"/>
    </xf>
    <xf numFmtId="0" fontId="12" fillId="26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104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576400"/>
      </font>
      <fill>
        <patternFill>
          <bgColor rgb="FFD6EA6D"/>
        </patternFill>
      </fill>
    </dxf>
    <dxf>
      <font>
        <b/>
        <color rgb="FF554179"/>
      </font>
      <fill>
        <patternFill>
          <bgColor rgb="FFB29AE6"/>
        </patternFill>
      </fill>
    </dxf>
    <dxf>
      <font>
        <b/>
        <color rgb="FF464D78"/>
      </font>
      <fill>
        <patternFill>
          <bgColor rgb="FFC0C5E8"/>
        </patternFill>
      </fill>
    </dxf>
    <dxf>
      <font>
        <b/>
        <color rgb="FF6F5100"/>
      </font>
      <fill>
        <patternFill>
          <bgColor rgb="FFF4C76B"/>
        </patternFill>
      </fill>
    </dxf>
    <dxf>
      <font>
        <b/>
        <color rgb="FF7A2017"/>
      </font>
      <fill>
        <patternFill>
          <bgColor rgb="FFF37D72"/>
        </patternFill>
      </fill>
    </dxf>
    <dxf>
      <font>
        <b/>
        <color rgb="FF2A664A"/>
      </font>
      <fill>
        <patternFill>
          <bgColor rgb="FF91D3B5"/>
        </patternFill>
      </fill>
    </dxf>
    <dxf>
      <font>
        <b/>
        <color rgb="FFFFFFFF"/>
      </font>
      <fill>
        <patternFill>
          <bgColor rgb="FFD33A8A"/>
        </patternFill>
      </fill>
    </dxf>
    <dxf>
      <font>
        <b/>
        <color rgb="FF315E83"/>
      </font>
      <fill>
        <patternFill>
          <bgColor rgb="FFBBD8F3"/>
        </patternFill>
      </fill>
    </dxf>
    <dxf>
      <font>
        <b/>
        <color rgb="FF1E6966"/>
      </font>
      <fill>
        <patternFill>
          <bgColor rgb="FF8DDCD9"/>
        </patternFill>
      </fill>
    </dxf>
    <dxf>
      <font>
        <b/>
        <color rgb="FF145B66"/>
      </font>
      <fill>
        <patternFill>
          <bgColor rgb="FF68D5E5"/>
        </patternFill>
      </fill>
    </dxf>
    <dxf>
      <font>
        <b/>
        <color rgb="FF63447A"/>
      </font>
      <fill>
        <patternFill>
          <bgColor rgb="FFD8B9EE"/>
        </patternFill>
      </fill>
    </dxf>
    <dxf>
      <font>
        <b/>
        <color rgb="FF7C273B"/>
      </font>
      <fill>
        <patternFill>
          <bgColor rgb="FFF2A7B8"/>
        </patternFill>
      </fill>
    </dxf>
    <dxf>
      <font>
        <b/>
        <color rgb="FF675200"/>
      </font>
      <fill>
        <patternFill>
          <bgColor rgb="FFF6DD72"/>
        </patternFill>
      </fill>
    </dxf>
    <dxf>
      <font>
        <b/>
        <color rgb="FF35662E"/>
      </font>
      <fill>
        <patternFill>
          <bgColor rgb="FFA9DF9E"/>
        </patternFill>
      </fill>
    </dxf>
    <dxf>
      <font>
        <b/>
        <color rgb="FF555555"/>
      </font>
      <fill>
        <patternFill>
          <bgColor rgb="FFD8D8D8"/>
        </patternFill>
      </fill>
    </dxf>
    <dxf>
      <font>
        <b/>
        <color rgb="FF742050"/>
      </font>
      <fill>
        <patternFill>
          <bgColor rgb="FFE58BC0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7A4500"/>
      </font>
      <fill>
        <patternFill>
          <bgColor rgb="FFF3B76C"/>
        </patternFill>
      </fill>
    </dxf>
    <dxf>
      <font>
        <b/>
        <color rgb="FF765900"/>
      </font>
      <fill>
        <patternFill>
          <bgColor rgb="FFFFE07A"/>
        </patternFill>
      </fill>
    </dxf>
    <dxf>
      <font>
        <b/>
        <color rgb="FF60467C"/>
      </font>
      <fill>
        <patternFill>
          <bgColor rgb="FFCDB2ED"/>
        </patternFill>
      </fill>
    </dxf>
    <dxf>
      <font>
        <b/>
        <color rgb="FF812447"/>
      </font>
      <fill>
        <patternFill>
          <bgColor rgb="FFF078A6"/>
        </patternFill>
      </fill>
    </dxf>
    <dxf>
      <font>
        <b/>
        <color rgb="FFFFFFFF"/>
      </font>
      <fill>
        <patternFill>
          <bgColor rgb="FFCF005E"/>
        </patternFill>
      </fill>
    </dxf>
    <dxf>
      <font>
        <b/>
        <color rgb="FF970047"/>
      </font>
      <fill>
        <patternFill>
          <bgColor rgb="FFFBE4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F005E"/>
      <rgbColor rgb="FFFFC7D0"/>
      <rgbColor rgb="FF576400"/>
      <rgbColor rgb="FFD6EA6D"/>
      <rgbColor rgb="FFD2398A"/>
      <rgbColor rgb="FFD8B9EE"/>
      <rgbColor rgb="FF9C0006"/>
      <rgbColor rgb="FF026103"/>
      <rgbColor rgb="FF464D78"/>
      <rgbColor rgb="FF765900"/>
      <rgbColor rgb="FF970047"/>
      <rgbColor rgb="FF1E6966"/>
      <rgbColor rgb="FFCDB2ED"/>
      <rgbColor rgb="FF555555"/>
      <rgbColor rgb="FFB29AE6"/>
      <rgbColor rgb="FF812447"/>
      <rgbColor rgb="FFFBE4F0"/>
      <rgbColor rgb="FFBBD8F3"/>
      <rgbColor rgb="FF752052"/>
      <rgbColor rgb="FFF37D72"/>
      <rgbColor rgb="FF0F78B1"/>
      <rgbColor rgb="FFC0C5E8"/>
      <rgbColor rgb="FF6F5100"/>
      <rgbColor rgb="FFD681AF"/>
      <rgbColor rgb="FFF6DD72"/>
      <rgbColor rgb="FFF7D4E7"/>
      <rgbColor rgb="FF63447A"/>
      <rgbColor rgb="FF7A2017"/>
      <rgbColor rgb="FF2A664A"/>
      <rgbColor rgb="FFE58BC0"/>
      <rgbColor rgb="FF91D3B5"/>
      <rgbColor rgb="FFD8D8D8"/>
      <rgbColor rgb="FFC6EFCE"/>
      <rgbColor rgb="FFFFE07A"/>
      <rgbColor rgb="FF8DDCD9"/>
      <rgbColor rgb="FFF2A7B8"/>
      <rgbColor rgb="FFE5A9C8"/>
      <rgbColor rgb="FFF4C76B"/>
      <rgbColor rgb="FF315E83"/>
      <rgbColor rgb="FF68D5E5"/>
      <rgbColor rgb="FFA9DF9E"/>
      <rgbColor rgb="FFF3B76C"/>
      <rgbColor rgb="FFF078A6"/>
      <rgbColor rgb="FFE0672C"/>
      <rgbColor rgb="FF60467C"/>
      <rgbColor rgb="FFA0AEAC"/>
      <rgbColor rgb="FF145A66"/>
      <rgbColor rgb="FF479929"/>
      <rgbColor rgb="FF35662E"/>
      <rgbColor rgb="FF675200"/>
      <rgbColor rgb="FF7A4500"/>
      <rgbColor rgb="FF7C273B"/>
      <rgbColor rgb="FF554179"/>
      <rgbColor rgb="FF5D274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4ED-4389-920D-A408231EA418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4ED-4389-920D-A408231EA418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4ED-4389-920D-A408231EA418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4ED-4389-920D-A408231EA418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4ED-4389-920D-A408231EA418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4ED-4389-920D-A408231EA41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84ED-4389-920D-A408231EA418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84ED-4389-920D-A408231EA418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84ED-4389-920D-A408231EA418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84ED-4389-920D-A408231EA418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84ED-4389-920D-A408231EA418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84ED-4389-920D-A408231EA418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84ED-4389-920D-A408231EA418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84ED-4389-920D-A408231EA418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84ED-4389-920D-A408231EA418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84ED-4389-920D-A408231EA41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4ED-4389-920D-A408231EA41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4ED-4389-920D-A408231EA41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4ED-4389-920D-A408231EA41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4ED-4389-920D-A408231EA41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4ED-4389-920D-A408231EA41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4ED-4389-920D-A408231EA41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4ED-4389-920D-A408231EA418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84ED-4389-920D-A408231EA418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84ED-4389-920D-A408231EA418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84ED-4389-920D-A408231EA418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84ED-4389-920D-A408231EA418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84ED-4389-920D-A408231EA418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84ED-4389-920D-A408231EA418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84ED-4389-920D-A408231EA418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84ED-4389-920D-A408231EA418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84ED-4389-920D-A408231EA4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Janeiro!$Z$3:$Z$18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Janeiro!$AA$3:$AA$18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84ED-4389-920D-A408231EA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4FE-4D28-946E-F6D8565924A0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4FE-4D28-946E-F6D8565924A0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4FE-4D28-946E-F6D8565924A0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4FE-4D28-946E-F6D8565924A0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4FE-4D28-946E-F6D8565924A0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4FE-4D28-946E-F6D8565924A0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A4FE-4D28-946E-F6D8565924A0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A4FE-4D28-946E-F6D8565924A0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4FE-4D28-946E-F6D8565924A0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4FE-4D28-946E-F6D8565924A0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A4FE-4D28-946E-F6D8565924A0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A4FE-4D28-946E-F6D8565924A0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A4FE-4D28-946E-F6D8565924A0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A4FE-4D28-946E-F6D8565924A0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A4FE-4D28-946E-F6D8565924A0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A4FE-4D28-946E-F6D8565924A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4FE-4D28-946E-F6D8565924A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4FE-4D28-946E-F6D8565924A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4FE-4D28-946E-F6D8565924A0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4FE-4D28-946E-F6D8565924A0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4FE-4D28-946E-F6D8565924A0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A4FE-4D28-946E-F6D8565924A0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A4FE-4D28-946E-F6D8565924A0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A4FE-4D28-946E-F6D8565924A0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A4FE-4D28-946E-F6D8565924A0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A4FE-4D28-946E-F6D8565924A0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A4FE-4D28-946E-F6D8565924A0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A4FE-4D28-946E-F6D8565924A0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A4FE-4D28-946E-F6D8565924A0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A4FE-4D28-946E-F6D8565924A0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A4FE-4D28-946E-F6D8565924A0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A4FE-4D28-946E-F6D8565924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Fevereiro!$Z$3:$Z$18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Fevereiro!$AA$3:$AA$18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4FE-4D28-946E-F6D856592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BA4-40A3-90A5-8A511DFB2199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BA4-40A3-90A5-8A511DFB2199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BA4-40A3-90A5-8A511DFB2199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BA4-40A3-90A5-8A511DFB2199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BA4-40A3-90A5-8A511DFB2199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BA4-40A3-90A5-8A511DFB219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CBA4-40A3-90A5-8A511DFB2199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BA4-40A3-90A5-8A511DFB2199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BA4-40A3-90A5-8A511DFB2199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CBA4-40A3-90A5-8A511DFB2199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CBA4-40A3-90A5-8A511DFB2199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CBA4-40A3-90A5-8A511DFB2199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CBA4-40A3-90A5-8A511DFB2199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CBA4-40A3-90A5-8A511DFB2199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CBA4-40A3-90A5-8A511DFB2199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CBA4-40A3-90A5-8A511DFB219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BA4-40A3-90A5-8A511DFB219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BA4-40A3-90A5-8A511DFB219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BA4-40A3-90A5-8A511DFB219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BA4-40A3-90A5-8A511DFB219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BA4-40A3-90A5-8A511DFB219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BA4-40A3-90A5-8A511DFB219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BA4-40A3-90A5-8A511DFB219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CBA4-40A3-90A5-8A511DFB219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CBA4-40A3-90A5-8A511DFB219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CBA4-40A3-90A5-8A511DFB2199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CBA4-40A3-90A5-8A511DFB2199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CBA4-40A3-90A5-8A511DFB2199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CBA4-40A3-90A5-8A511DFB2199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CBA4-40A3-90A5-8A511DFB2199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CBA4-40A3-90A5-8A511DFB2199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CBA4-40A3-90A5-8A511DFB21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Março!$Z$3:$Z$18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Março!$AA$3:$AA$18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BA4-40A3-90A5-8A511DFB2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C2FF-48C8-8F74-E4F37F66BE7C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C2FF-48C8-8F74-E4F37F66BE7C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C2FF-48C8-8F74-E4F37F66BE7C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C2FF-48C8-8F74-E4F37F66BE7C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C2FF-48C8-8F74-E4F37F66BE7C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C2FF-48C8-8F74-E4F37F66BE7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C2FF-48C8-8F74-E4F37F66BE7C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C2FF-48C8-8F74-E4F37F66BE7C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C2FF-48C8-8F74-E4F37F66BE7C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C2FF-48C8-8F74-E4F37F66BE7C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C2FF-48C8-8F74-E4F37F66BE7C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C2FF-48C8-8F74-E4F37F66BE7C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C2FF-48C8-8F74-E4F37F66BE7C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C2FF-48C8-8F74-E4F37F66BE7C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C2FF-48C8-8F74-E4F37F66BE7C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C2FF-48C8-8F74-E4F37F66BE7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C2FF-48C8-8F74-E4F37F66BE7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C2FF-48C8-8F74-E4F37F66BE7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C2FF-48C8-8F74-E4F37F66BE7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C2FF-48C8-8F74-E4F37F66BE7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C2FF-48C8-8F74-E4F37F66BE7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C2FF-48C8-8F74-E4F37F66BE7C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C2FF-48C8-8F74-E4F37F66BE7C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C2FF-48C8-8F74-E4F37F66BE7C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C2FF-48C8-8F74-E4F37F66BE7C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C2FF-48C8-8F74-E4F37F66BE7C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C2FF-48C8-8F74-E4F37F66BE7C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C2FF-48C8-8F74-E4F37F66BE7C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C2FF-48C8-8F74-E4F37F66BE7C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C2FF-48C8-8F74-E4F37F66BE7C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C2FF-48C8-8F74-E4F37F66BE7C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C2FF-48C8-8F74-E4F37F66BE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Abril!$Z$3:$Z$18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Abril!$AA$3:$AA$18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C2FF-48C8-8F74-E4F37F66B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057-4F04-86E4-0FA8422F1179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057-4F04-86E4-0FA8422F1179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057-4F04-86E4-0FA8422F1179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057-4F04-86E4-0FA8422F1179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057-4F04-86E4-0FA8422F1179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057-4F04-86E4-0FA8422F1179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6057-4F04-86E4-0FA8422F1179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057-4F04-86E4-0FA8422F1179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057-4F04-86E4-0FA8422F1179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6057-4F04-86E4-0FA8422F1179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6057-4F04-86E4-0FA8422F1179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6057-4F04-86E4-0FA8422F1179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6057-4F04-86E4-0FA8422F1179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6057-4F04-86E4-0FA8422F1179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6057-4F04-86E4-0FA8422F1179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6057-4F04-86E4-0FA8422F1179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057-4F04-86E4-0FA8422F1179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057-4F04-86E4-0FA8422F1179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057-4F04-86E4-0FA8422F1179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057-4F04-86E4-0FA8422F1179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057-4F04-86E4-0FA8422F1179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057-4F04-86E4-0FA8422F1179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057-4F04-86E4-0FA8422F1179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6057-4F04-86E4-0FA8422F1179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6057-4F04-86E4-0FA8422F1179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6057-4F04-86E4-0FA8422F1179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6057-4F04-86E4-0FA8422F1179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6057-4F04-86E4-0FA8422F1179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6057-4F04-86E4-0FA8422F1179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6057-4F04-86E4-0FA8422F1179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6057-4F04-86E4-0FA8422F1179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6057-4F04-86E4-0FA8422F11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Maio!$Z$3:$Z$18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Maio!$AA$3:$AA$18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057-4F04-86E4-0FA8422F11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95EA-4027-B16E-5F9CA4C5EF4B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95EA-4027-B16E-5F9CA4C5EF4B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95EA-4027-B16E-5F9CA4C5EF4B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95EA-4027-B16E-5F9CA4C5EF4B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95EA-4027-B16E-5F9CA4C5EF4B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95EA-4027-B16E-5F9CA4C5EF4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95EA-4027-B16E-5F9CA4C5EF4B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95EA-4027-B16E-5F9CA4C5EF4B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95EA-4027-B16E-5F9CA4C5EF4B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95EA-4027-B16E-5F9CA4C5EF4B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95EA-4027-B16E-5F9CA4C5EF4B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95EA-4027-B16E-5F9CA4C5EF4B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95EA-4027-B16E-5F9CA4C5EF4B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95EA-4027-B16E-5F9CA4C5EF4B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95EA-4027-B16E-5F9CA4C5EF4B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95EA-4027-B16E-5F9CA4C5EF4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5EA-4027-B16E-5F9CA4C5EF4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5EA-4027-B16E-5F9CA4C5EF4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5EA-4027-B16E-5F9CA4C5EF4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5EA-4027-B16E-5F9CA4C5EF4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5EA-4027-B16E-5F9CA4C5EF4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95EA-4027-B16E-5F9CA4C5EF4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95EA-4027-B16E-5F9CA4C5EF4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95EA-4027-B16E-5F9CA4C5EF4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95EA-4027-B16E-5F9CA4C5EF4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95EA-4027-B16E-5F9CA4C5EF4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95EA-4027-B16E-5F9CA4C5EF4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95EA-4027-B16E-5F9CA4C5EF4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95EA-4027-B16E-5F9CA4C5EF4B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95EA-4027-B16E-5F9CA4C5EF4B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95EA-4027-B16E-5F9CA4C5EF4B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95EA-4027-B16E-5F9CA4C5EF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Junho!$Z$3:$Z$18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Junho!$AA$3:$AA$18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5EA-4027-B16E-5F9CA4C5E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A22E-4310-B50E-EC15C8CD505B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A22E-4310-B50E-EC15C8CD505B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A22E-4310-B50E-EC15C8CD505B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A22E-4310-B50E-EC15C8CD505B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A22E-4310-B50E-EC15C8CD505B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A22E-4310-B50E-EC15C8CD505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A22E-4310-B50E-EC15C8CD505B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A22E-4310-B50E-EC15C8CD505B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A22E-4310-B50E-EC15C8CD505B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A22E-4310-B50E-EC15C8CD505B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A22E-4310-B50E-EC15C8CD505B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A22E-4310-B50E-EC15C8CD505B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A22E-4310-B50E-EC15C8CD505B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A22E-4310-B50E-EC15C8CD505B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A22E-4310-B50E-EC15C8CD505B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A22E-4310-B50E-EC15C8CD505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A22E-4310-B50E-EC15C8CD505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A22E-4310-B50E-EC15C8CD505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A22E-4310-B50E-EC15C8CD505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A22E-4310-B50E-EC15C8CD505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A22E-4310-B50E-EC15C8CD505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A22E-4310-B50E-EC15C8CD505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A22E-4310-B50E-EC15C8CD505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A22E-4310-B50E-EC15C8CD505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A22E-4310-B50E-EC15C8CD505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A22E-4310-B50E-EC15C8CD505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A22E-4310-B50E-EC15C8CD505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A22E-4310-B50E-EC15C8CD505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A22E-4310-B50E-EC15C8CD505B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A22E-4310-B50E-EC15C8CD505B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A22E-4310-B50E-EC15C8CD505B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A22E-4310-B50E-EC15C8CD505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Julho!$Z$3:$Z$18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Julho!$AA$3:$AA$18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22E-4310-B50E-EC15C8CD50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D14-40C3-859D-980613D2E7CE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D14-40C3-859D-980613D2E7CE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D14-40C3-859D-980613D2E7CE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D14-40C3-859D-980613D2E7CE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D14-40C3-859D-980613D2E7CE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D14-40C3-859D-980613D2E7CE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3D14-40C3-859D-980613D2E7CE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D14-40C3-859D-980613D2E7CE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D14-40C3-859D-980613D2E7CE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D14-40C3-859D-980613D2E7CE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3D14-40C3-859D-980613D2E7CE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3D14-40C3-859D-980613D2E7CE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3D14-40C3-859D-980613D2E7CE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3D14-40C3-859D-980613D2E7CE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3D14-40C3-859D-980613D2E7CE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3D14-40C3-859D-980613D2E7CE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D14-40C3-859D-980613D2E7CE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D14-40C3-859D-980613D2E7CE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D14-40C3-859D-980613D2E7CE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D14-40C3-859D-980613D2E7CE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D14-40C3-859D-980613D2E7CE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D14-40C3-859D-980613D2E7CE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3D14-40C3-859D-980613D2E7CE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3D14-40C3-859D-980613D2E7CE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3D14-40C3-859D-980613D2E7CE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3D14-40C3-859D-980613D2E7CE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3D14-40C3-859D-980613D2E7CE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3D14-40C3-859D-980613D2E7CE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3D14-40C3-859D-980613D2E7CE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3D14-40C3-859D-980613D2E7CE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3D14-40C3-859D-980613D2E7CE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3D14-40C3-859D-980613D2E7C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Agosto!$Z$3:$Z$18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Agosto!$AA$3:$AA$18</c:f>
              <c:numCache>
                <c:formatCode>"R$ "#,##0.00</c:formatCode>
                <c:ptCount val="16"/>
                <c:pt idx="0">
                  <c:v>282</c:v>
                </c:pt>
                <c:pt idx="1">
                  <c:v>0</c:v>
                </c:pt>
                <c:pt idx="2">
                  <c:v>58</c:v>
                </c:pt>
                <c:pt idx="3">
                  <c:v>248.5</c:v>
                </c:pt>
                <c:pt idx="4">
                  <c:v>158</c:v>
                </c:pt>
                <c:pt idx="5">
                  <c:v>0</c:v>
                </c:pt>
                <c:pt idx="6">
                  <c:v>332</c:v>
                </c:pt>
                <c:pt idx="7">
                  <c:v>0</c:v>
                </c:pt>
                <c:pt idx="8">
                  <c:v>0</c:v>
                </c:pt>
                <c:pt idx="9">
                  <c:v>45</c:v>
                </c:pt>
                <c:pt idx="10">
                  <c:v>103.9</c:v>
                </c:pt>
                <c:pt idx="11">
                  <c:v>83</c:v>
                </c:pt>
                <c:pt idx="12">
                  <c:v>222.5</c:v>
                </c:pt>
                <c:pt idx="13">
                  <c:v>48</c:v>
                </c:pt>
                <c:pt idx="14">
                  <c:v>385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D14-40C3-859D-980613D2E7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lang="pt-BR"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lang="pt-BR"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345-4844-8B0C-9DC0B8C9FFD3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345-4844-8B0C-9DC0B8C9FFD3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345-4844-8B0C-9DC0B8C9FFD3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345-4844-8B0C-9DC0B8C9FFD3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345-4844-8B0C-9DC0B8C9FFD3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345-4844-8B0C-9DC0B8C9FFD3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6345-4844-8B0C-9DC0B8C9FFD3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6345-4844-8B0C-9DC0B8C9FFD3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6345-4844-8B0C-9DC0B8C9FFD3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6345-4844-8B0C-9DC0B8C9FFD3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6345-4844-8B0C-9DC0B8C9FFD3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6345-4844-8B0C-9DC0B8C9FFD3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6345-4844-8B0C-9DC0B8C9FFD3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6345-4844-8B0C-9DC0B8C9FFD3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6345-4844-8B0C-9DC0B8C9FFD3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6345-4844-8B0C-9DC0B8C9FFD3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345-4844-8B0C-9DC0B8C9FFD3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345-4844-8B0C-9DC0B8C9FFD3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345-4844-8B0C-9DC0B8C9FFD3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345-4844-8B0C-9DC0B8C9FFD3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345-4844-8B0C-9DC0B8C9FFD3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345-4844-8B0C-9DC0B8C9FFD3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345-4844-8B0C-9DC0B8C9FFD3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6345-4844-8B0C-9DC0B8C9FFD3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6345-4844-8B0C-9DC0B8C9FFD3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6345-4844-8B0C-9DC0B8C9FFD3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6345-4844-8B0C-9DC0B8C9FFD3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6345-4844-8B0C-9DC0B8C9FFD3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6345-4844-8B0C-9DC0B8C9FFD3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6345-4844-8B0C-9DC0B8C9FFD3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6345-4844-8B0C-9DC0B8C9FFD3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6345-4844-8B0C-9DC0B8C9FF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Setembro!$Z$3:$Z$18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Setembro!$AA$3:$AA$18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130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170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345-4844-8B0C-9DC0B8C9F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3C74-4EDB-AAEE-AC7C19266A28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3C74-4EDB-AAEE-AC7C19266A28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3C74-4EDB-AAEE-AC7C19266A28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3C74-4EDB-AAEE-AC7C19266A28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3C74-4EDB-AAEE-AC7C19266A28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3C74-4EDB-AAEE-AC7C19266A2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3C74-4EDB-AAEE-AC7C19266A28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3C74-4EDB-AAEE-AC7C19266A28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3C74-4EDB-AAEE-AC7C19266A28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3C74-4EDB-AAEE-AC7C19266A28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3C74-4EDB-AAEE-AC7C19266A28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3C74-4EDB-AAEE-AC7C19266A28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3C74-4EDB-AAEE-AC7C19266A28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3C74-4EDB-AAEE-AC7C19266A28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3C74-4EDB-AAEE-AC7C19266A28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3C74-4EDB-AAEE-AC7C19266A2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3C74-4EDB-AAEE-AC7C19266A2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3C74-4EDB-AAEE-AC7C19266A2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3C74-4EDB-AAEE-AC7C19266A28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3C74-4EDB-AAEE-AC7C19266A28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3C74-4EDB-AAEE-AC7C19266A28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3C74-4EDB-AAEE-AC7C19266A28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3C74-4EDB-AAEE-AC7C19266A28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3C74-4EDB-AAEE-AC7C19266A28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3C74-4EDB-AAEE-AC7C19266A28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3C74-4EDB-AAEE-AC7C19266A28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3C74-4EDB-AAEE-AC7C19266A28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3C74-4EDB-AAEE-AC7C19266A28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3C74-4EDB-AAEE-AC7C19266A28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3C74-4EDB-AAEE-AC7C19266A28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3C74-4EDB-AAEE-AC7C19266A28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3C74-4EDB-AAEE-AC7C19266A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Outubro!$Z$3:$Z$18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Outubro!$AA$3:$AA$18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3C74-4EDB-AAEE-AC7C19266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3E9-44EF-91F1-7F65E3C4E945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3E9-44EF-91F1-7F65E3C4E945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3E9-44EF-91F1-7F65E3C4E945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13E9-44EF-91F1-7F65E3C4E945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13E9-44EF-91F1-7F65E3C4E945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13E9-44EF-91F1-7F65E3C4E945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13E9-44EF-91F1-7F65E3C4E945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13E9-44EF-91F1-7F65E3C4E945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13E9-44EF-91F1-7F65E3C4E945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13E9-44EF-91F1-7F65E3C4E945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13E9-44EF-91F1-7F65E3C4E945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13E9-44EF-91F1-7F65E3C4E945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13E9-44EF-91F1-7F65E3C4E945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13E9-44EF-91F1-7F65E3C4E945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13E9-44EF-91F1-7F65E3C4E945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13E9-44EF-91F1-7F65E3C4E945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13E9-44EF-91F1-7F65E3C4E94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13E9-44EF-91F1-7F65E3C4E94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13E9-44EF-91F1-7F65E3C4E945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13E9-44EF-91F1-7F65E3C4E945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13E9-44EF-91F1-7F65E3C4E945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13E9-44EF-91F1-7F65E3C4E945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13E9-44EF-91F1-7F65E3C4E945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13E9-44EF-91F1-7F65E3C4E945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13E9-44EF-91F1-7F65E3C4E945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13E9-44EF-91F1-7F65E3C4E945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13E9-44EF-91F1-7F65E3C4E945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13E9-44EF-91F1-7F65E3C4E945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13E9-44EF-91F1-7F65E3C4E945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13E9-44EF-91F1-7F65E3C4E945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13E9-44EF-91F1-7F65E3C4E945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13E9-44EF-91F1-7F65E3C4E9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Novembro!$Z$3:$Z$18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Novembro!$AA$3:$AA$18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13E9-44EF-91F1-7F65E3C4E9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825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825" b="1" strike="noStrike" spc="-1">
                <a:solidFill>
                  <a:srgbClr val="000000"/>
                </a:solidFill>
                <a:latin typeface="Calibri"/>
                <a:ea typeface="Calibri"/>
              </a:rPr>
              <a:t>Gastos por categoria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v>Valor gasto</c:v>
          </c:tx>
          <c:spPr>
            <a:solidFill>
              <a:srgbClr val="156082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14F6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396-44F4-BF64-34F18C592B9B}"/>
              </c:ext>
            </c:extLst>
          </c:dPt>
          <c:dPt>
            <c:idx val="1"/>
            <c:bubble3D val="0"/>
            <c:spPr>
              <a:solidFill>
                <a:srgbClr val="C15D2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396-44F4-BF64-34F18C592B9B}"/>
              </c:ext>
            </c:extLst>
          </c:dPt>
          <c:dPt>
            <c:idx val="2"/>
            <c:bubble3D val="0"/>
            <c:spPr>
              <a:solidFill>
                <a:srgbClr val="14581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396-44F4-BF64-34F18C592B9B}"/>
              </c:ext>
            </c:extLst>
          </c:dPt>
          <c:dPt>
            <c:idx val="3"/>
            <c:bubble3D val="0"/>
            <c:spPr>
              <a:solidFill>
                <a:srgbClr val="0C83B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396-44F4-BF64-34F18C592B9B}"/>
              </c:ext>
            </c:extLst>
          </c:dPt>
          <c:dPt>
            <c:idx val="4"/>
            <c:bubble3D val="0"/>
            <c:spPr>
              <a:solidFill>
                <a:srgbClr val="84237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396-44F4-BF64-34F18C592B9B}"/>
              </c:ext>
            </c:extLst>
          </c:dPt>
          <c:dPt>
            <c:idx val="5"/>
            <c:bubble3D val="0"/>
            <c:spPr>
              <a:solidFill>
                <a:srgbClr val="408A2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396-44F4-BF64-34F18C592B9B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D-F396-44F4-BF64-34F18C592B9B}"/>
              </c:ext>
            </c:extLst>
          </c:dPt>
          <c:dPt>
            <c:idx val="7"/>
            <c:bubble3D val="0"/>
            <c:spPr>
              <a:solidFill>
                <a:srgbClr val="E9713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F-F396-44F4-BF64-34F18C592B9B}"/>
              </c:ext>
            </c:extLst>
          </c:dPt>
          <c:dPt>
            <c:idx val="8"/>
            <c:bubble3D val="0"/>
            <c:spPr>
              <a:solidFill>
                <a:srgbClr val="196B2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1-F396-44F4-BF64-34F18C592B9B}"/>
              </c:ext>
            </c:extLst>
          </c:dPt>
          <c:dPt>
            <c:idx val="9"/>
            <c:bubble3D val="0"/>
            <c:spPr>
              <a:solidFill>
                <a:srgbClr val="0F9ED5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3-F396-44F4-BF64-34F18C592B9B}"/>
              </c:ext>
            </c:extLst>
          </c:dPt>
          <c:dPt>
            <c:idx val="10"/>
            <c:bubble3D val="0"/>
            <c:spPr>
              <a:solidFill>
                <a:srgbClr val="A02B9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5-F396-44F4-BF64-34F18C592B9B}"/>
              </c:ext>
            </c:extLst>
          </c:dPt>
          <c:dPt>
            <c:idx val="11"/>
            <c:bubble3D val="0"/>
            <c:spPr>
              <a:solidFill>
                <a:srgbClr val="4EA72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7-F396-44F4-BF64-34F18C592B9B}"/>
              </c:ext>
            </c:extLst>
          </c:dPt>
          <c:dPt>
            <c:idx val="12"/>
            <c:bubble3D val="0"/>
            <c:spPr>
              <a:solidFill>
                <a:srgbClr val="A1AEB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9-F396-44F4-BF64-34F18C592B9B}"/>
              </c:ext>
            </c:extLst>
          </c:dPt>
          <c:dPt>
            <c:idx val="13"/>
            <c:bubble3D val="0"/>
            <c:spPr>
              <a:solidFill>
                <a:srgbClr val="F0B4A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B-F396-44F4-BF64-34F18C592B9B}"/>
              </c:ext>
            </c:extLst>
          </c:dPt>
          <c:dPt>
            <c:idx val="14"/>
            <c:bubble3D val="0"/>
            <c:spPr>
              <a:solidFill>
                <a:srgbClr val="A2B2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D-F396-44F4-BF64-34F18C592B9B}"/>
              </c:ext>
            </c:extLst>
          </c:dPt>
          <c:dPt>
            <c:idx val="15"/>
            <c:bubble3D val="0"/>
            <c:spPr>
              <a:solidFill>
                <a:srgbClr val="A1C7E4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1F-F396-44F4-BF64-34F18C592B9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396-44F4-BF64-34F18C592B9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396-44F4-BF64-34F18C592B9B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396-44F4-BF64-34F18C592B9B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396-44F4-BF64-34F18C592B9B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396-44F4-BF64-34F18C592B9B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396-44F4-BF64-34F18C592B9B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396-44F4-BF64-34F18C592B9B}"/>
                </c:ext>
              </c:extLst>
            </c:dLbl>
            <c:dLbl>
              <c:idx val="7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F-F396-44F4-BF64-34F18C592B9B}"/>
                </c:ext>
              </c:extLst>
            </c:dLbl>
            <c:dLbl>
              <c:idx val="8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1-F396-44F4-BF64-34F18C592B9B}"/>
                </c:ext>
              </c:extLst>
            </c:dLbl>
            <c:dLbl>
              <c:idx val="9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3-F396-44F4-BF64-34F18C592B9B}"/>
                </c:ext>
              </c:extLst>
            </c:dLbl>
            <c:dLbl>
              <c:idx val="1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5-F396-44F4-BF64-34F18C592B9B}"/>
                </c:ext>
              </c:extLst>
            </c:dLbl>
            <c:dLbl>
              <c:idx val="1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7-F396-44F4-BF64-34F18C592B9B}"/>
                </c:ext>
              </c:extLst>
            </c:dLbl>
            <c:dLbl>
              <c:idx val="1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9-F396-44F4-BF64-34F18C592B9B}"/>
                </c:ext>
              </c:extLst>
            </c:dLbl>
            <c:dLbl>
              <c:idx val="1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B-F396-44F4-BF64-34F18C592B9B}"/>
                </c:ext>
              </c:extLst>
            </c:dLbl>
            <c:dLbl>
              <c:idx val="1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D-F396-44F4-BF64-34F18C592B9B}"/>
                </c:ext>
              </c:extLst>
            </c:dLbl>
            <c:dLbl>
              <c:idx val="1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pt-BR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1F-F396-44F4-BF64-34F18C592B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Dezembro!$Z$3:$Z$18</c:f>
              <c:strCache>
                <c:ptCount val="16"/>
                <c:pt idx="0">
                  <c:v>Mercado</c:v>
                </c:pt>
                <c:pt idx="1">
                  <c:v>Despesas eventuais</c:v>
                </c:pt>
                <c:pt idx="2">
                  <c:v>Necessidades</c:v>
                </c:pt>
                <c:pt idx="3">
                  <c:v>Roupa</c:v>
                </c:pt>
                <c:pt idx="4">
                  <c:v>Saúde</c:v>
                </c:pt>
                <c:pt idx="5">
                  <c:v>Presentes</c:v>
                </c:pt>
                <c:pt idx="6">
                  <c:v>Beleza</c:v>
                </c:pt>
                <c:pt idx="7">
                  <c:v>Desenvolvimento</c:v>
                </c:pt>
                <c:pt idx="8">
                  <c:v>Lazer</c:v>
                </c:pt>
                <c:pt idx="9">
                  <c:v>Eletrônicos</c:v>
                </c:pt>
                <c:pt idx="10">
                  <c:v>Assinaturas</c:v>
                </c:pt>
                <c:pt idx="11">
                  <c:v>Uber transporte</c:v>
                </c:pt>
                <c:pt idx="12">
                  <c:v>iFood/restaurante</c:v>
                </c:pt>
                <c:pt idx="13">
                  <c:v>Comida faculdade</c:v>
                </c:pt>
                <c:pt idx="14">
                  <c:v>Contas</c:v>
                </c:pt>
                <c:pt idx="15">
                  <c:v>Outros</c:v>
                </c:pt>
              </c:strCache>
            </c:strRef>
          </c:cat>
          <c:val>
            <c:numRef>
              <c:f>Dezembro!$AA$3:$AA$18</c:f>
              <c:numCache>
                <c:formatCode>"R$ "#,##0.00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F396-44F4-BF64-34F18C592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  <a:ea typeface="Calibri"/>
              </a:rPr>
              <a:t>Gastos x Entradas por mês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de Gastos</c:v>
          </c:tx>
          <c:spPr>
            <a:solidFill>
              <a:srgbClr val="15608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Anual'!$B$22:$M$22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1965.9</c:v>
                </c:pt>
                <c:pt idx="8">
                  <c:v>300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44-4FA3-9DDA-9681DE51C664}"/>
            </c:ext>
          </c:extLst>
        </c:ser>
        <c:ser>
          <c:idx val="1"/>
          <c:order val="1"/>
          <c:tx>
            <c:v>Total de Entradas</c:v>
          </c:tx>
          <c:spPr>
            <a:solidFill>
              <a:srgbClr val="E97132"/>
            </a:solidFill>
            <a:ln w="12600">
              <a:solidFill>
                <a:srgbClr val="FFFFFF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'Resumo Anual'!$B$4:$M$4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'Resumo Anual'!$B$23:$M$23</c:f>
              <c:numCache>
                <c:formatCode>"R$ 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2400</c:v>
                </c:pt>
                <c:pt idx="8">
                  <c:v>2500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44-4FA3-9DDA-9681DE51C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474233"/>
        <c:axId val="89731436"/>
      </c:barChart>
      <c:catAx>
        <c:axId val="104742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89731436"/>
        <c:crosses val="autoZero"/>
        <c:auto val="1"/>
        <c:lblAlgn val="ctr"/>
        <c:lblOffset val="100"/>
        <c:noMultiLvlLbl val="0"/>
      </c:catAx>
      <c:valAx>
        <c:axId val="89731436"/>
        <c:scaling>
          <c:orientation val="minMax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  <a:ea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  <a:ea typeface="Calibri"/>
              </a:defRPr>
            </a:pPr>
            <a:endParaRPr lang="pt-BR"/>
          </a:p>
        </c:txPr>
        <c:crossAx val="104742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  <a:ea typeface="Calibri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151365</xdr:colOff>
      <xdr:row>48</xdr:row>
      <xdr:rowOff>209160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141840</xdr:colOff>
      <xdr:row>48</xdr:row>
      <xdr:rowOff>209160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30</xdr:row>
      <xdr:rowOff>0</xdr:rowOff>
    </xdr:from>
    <xdr:to>
      <xdr:col>23</xdr:col>
      <xdr:colOff>607320</xdr:colOff>
      <xdr:row>48</xdr:row>
      <xdr:rowOff>209160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12</xdr:col>
      <xdr:colOff>110880</xdr:colOff>
      <xdr:row>41</xdr:row>
      <xdr:rowOff>21960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1045" priority="63" operator="containsText" text="☐">
      <formula>NOT(ISERROR(SEARCH("☐",D11)))</formula>
    </cfRule>
    <cfRule type="containsText" dxfId="1044" priority="62" operator="containsText" text="☑">
      <formula>NOT(ISERROR(SEARCH("☑",D11)))</formula>
    </cfRule>
  </conditionalFormatting>
  <conditionalFormatting sqref="F11:F18">
    <cfRule type="containsText" dxfId="1043" priority="2" operator="containsText" text="Débito">
      <formula>NOT(ISERROR(SEARCH("Débito",F11)))</formula>
    </cfRule>
    <cfRule type="containsText" dxfId="1042" priority="3" operator="containsText" text="Nubank">
      <formula>NOT(ISERROR(SEARCH("Nubank",F11)))</formula>
    </cfRule>
    <cfRule type="containsText" dxfId="1041" priority="4" operator="containsText" text="Inter">
      <formula>NOT(ISERROR(SEARCH("Inter",F11)))</formula>
    </cfRule>
    <cfRule type="containsText" dxfId="1040" priority="5" operator="containsText" text="Itaú">
      <formula>NOT(ISERROR(SEARCH("Itaú",F11)))</formula>
    </cfRule>
  </conditionalFormatting>
  <conditionalFormatting sqref="F24:F35">
    <cfRule type="containsText" dxfId="1039" priority="6" operator="containsText" text="Débito">
      <formula>NOT(ISERROR(SEARCH("Débito",F24)))</formula>
    </cfRule>
    <cfRule type="containsText" dxfId="1038" priority="7" operator="containsText" text="Nubank">
      <formula>NOT(ISERROR(SEARCH("Nubank",F24)))</formula>
    </cfRule>
    <cfRule type="containsText" dxfId="1037" priority="8" operator="containsText" text="Inter">
      <formula>NOT(ISERROR(SEARCH("Inter",F24)))</formula>
    </cfRule>
    <cfRule type="containsText" dxfId="1036" priority="9" operator="containsText" text="Itaú">
      <formula>NOT(ISERROR(SEARCH("Itaú",F24)))</formula>
    </cfRule>
  </conditionalFormatting>
  <conditionalFormatting sqref="G11:G18">
    <cfRule type="containsText" dxfId="1035" priority="28" operator="containsText" text="Contas">
      <formula>NOT(ISERROR(SEARCH("Contas",G11)))</formula>
    </cfRule>
    <cfRule type="containsText" dxfId="1034" priority="29" operator="containsText" text="Outros">
      <formula>NOT(ISERROR(SEARCH("Outros",G11)))</formula>
    </cfRule>
    <cfRule type="containsText" dxfId="1033" priority="22" operator="containsText" text="Lazer">
      <formula>NOT(ISERROR(SEARCH("Lazer",G11)))</formula>
    </cfRule>
    <cfRule type="containsText" dxfId="1032" priority="14" operator="containsText" text="Mercado">
      <formula>NOT(ISERROR(SEARCH("Mercado",G11)))</formula>
    </cfRule>
    <cfRule type="containsText" dxfId="1031" priority="15" operator="containsText" text="Despesas eventuais">
      <formula>NOT(ISERROR(SEARCH("Despesas eventuais",G11)))</formula>
    </cfRule>
    <cfRule type="containsText" dxfId="1030" priority="16" operator="containsText" text="Necessidades">
      <formula>NOT(ISERROR(SEARCH("Necessidades",G11)))</formula>
    </cfRule>
    <cfRule type="containsText" dxfId="1029" priority="17" operator="containsText" text="Roupa">
      <formula>NOT(ISERROR(SEARCH("Roupa",G11)))</formula>
    </cfRule>
    <cfRule type="containsText" dxfId="1028" priority="18" operator="containsText" text="Saúde">
      <formula>NOT(ISERROR(SEARCH("Saúde",G11)))</formula>
    </cfRule>
    <cfRule type="containsText" dxfId="1027" priority="19" operator="containsText" text="Presentes">
      <formula>NOT(ISERROR(SEARCH("Presentes",G11)))</formula>
    </cfRule>
    <cfRule type="containsText" dxfId="1026" priority="20" operator="containsText" text="Beleza">
      <formula>NOT(ISERROR(SEARCH("Beleza",G11)))</formula>
    </cfRule>
    <cfRule type="containsText" dxfId="1025" priority="21" operator="containsText" text="Desenvolvimento">
      <formula>NOT(ISERROR(SEARCH("Desenvolvimento",G11)))</formula>
    </cfRule>
    <cfRule type="containsText" dxfId="1024" priority="23" operator="containsText" text="Eletrônicos">
      <formula>NOT(ISERROR(SEARCH("Eletrônicos",G11)))</formula>
    </cfRule>
    <cfRule type="containsText" dxfId="1023" priority="24" operator="containsText" text="Assinaturas">
      <formula>NOT(ISERROR(SEARCH("Assinaturas",G11)))</formula>
    </cfRule>
    <cfRule type="containsText" dxfId="1022" priority="25" operator="containsText" text="Uber transporte">
      <formula>NOT(ISERROR(SEARCH("Uber transporte",G11)))</formula>
    </cfRule>
    <cfRule type="containsText" dxfId="1021" priority="26" operator="containsText" text="iFood/restaurante">
      <formula>NOT(ISERROR(SEARCH("iFood/restaurante",G11)))</formula>
    </cfRule>
    <cfRule type="containsText" dxfId="1020" priority="27" operator="containsText" text="Comida faculdade">
      <formula>NOT(ISERROR(SEARCH("Comida faculdade",G11)))</formula>
    </cfRule>
  </conditionalFormatting>
  <conditionalFormatting sqref="G24:G35">
    <cfRule type="containsText" dxfId="1019" priority="44" operator="containsText" text="Contas">
      <formula>NOT(ISERROR(SEARCH("Contas",G24)))</formula>
    </cfRule>
    <cfRule type="containsText" dxfId="1018" priority="45" operator="containsText" text="Outros">
      <formula>NOT(ISERROR(SEARCH("Outros",G24)))</formula>
    </cfRule>
    <cfRule type="containsText" dxfId="1017" priority="30" operator="containsText" text="Mercado">
      <formula>NOT(ISERROR(SEARCH("Mercado",G24)))</formula>
    </cfRule>
    <cfRule type="containsText" dxfId="1016" priority="31" operator="containsText" text="Despesas eventuais">
      <formula>NOT(ISERROR(SEARCH("Despesas eventuais",G24)))</formula>
    </cfRule>
    <cfRule type="containsText" dxfId="1015" priority="32" operator="containsText" text="Necessidades">
      <formula>NOT(ISERROR(SEARCH("Necessidades",G24)))</formula>
    </cfRule>
    <cfRule type="containsText" dxfId="1014" priority="33" operator="containsText" text="Roupa">
      <formula>NOT(ISERROR(SEARCH("Roupa",G24)))</formula>
    </cfRule>
    <cfRule type="containsText" dxfId="1013" priority="34" operator="containsText" text="Saúde">
      <formula>NOT(ISERROR(SEARCH("Saúde",G24)))</formula>
    </cfRule>
    <cfRule type="containsText" dxfId="1012" priority="35" operator="containsText" text="Presentes">
      <formula>NOT(ISERROR(SEARCH("Presentes",G24)))</formula>
    </cfRule>
    <cfRule type="containsText" dxfId="1011" priority="36" operator="containsText" text="Beleza">
      <formula>NOT(ISERROR(SEARCH("Beleza",G24)))</formula>
    </cfRule>
    <cfRule type="containsText" dxfId="1010" priority="37" operator="containsText" text="Desenvolvimento">
      <formula>NOT(ISERROR(SEARCH("Desenvolvimento",G24)))</formula>
    </cfRule>
    <cfRule type="containsText" dxfId="1009" priority="38" operator="containsText" text="Lazer">
      <formula>NOT(ISERROR(SEARCH("Lazer",G24)))</formula>
    </cfRule>
    <cfRule type="containsText" dxfId="1008" priority="39" operator="containsText" text="Eletrônicos">
      <formula>NOT(ISERROR(SEARCH("Eletrônicos",G24)))</formula>
    </cfRule>
    <cfRule type="containsText" dxfId="1007" priority="40" operator="containsText" text="Assinaturas">
      <formula>NOT(ISERROR(SEARCH("Assinaturas",G24)))</formula>
    </cfRule>
    <cfRule type="containsText" dxfId="1006" priority="41" operator="containsText" text="Uber transporte">
      <formula>NOT(ISERROR(SEARCH("Uber transporte",G24)))</formula>
    </cfRule>
    <cfRule type="containsText" dxfId="1005" priority="42" operator="containsText" text="iFood/restaurante">
      <formula>NOT(ISERROR(SEARCH("iFood/restaurante",G24)))</formula>
    </cfRule>
    <cfRule type="containsText" dxfId="1004" priority="43" operator="containsText" text="Comida faculdade">
      <formula>NOT(ISERROR(SEARCH("Comida faculdade",G24)))</formula>
    </cfRule>
  </conditionalFormatting>
  <conditionalFormatting sqref="M8:M35">
    <cfRule type="containsText" dxfId="1003" priority="10" operator="containsText" text="Débito">
      <formula>NOT(ISERROR(SEARCH("Débito",M8)))</formula>
    </cfRule>
    <cfRule type="containsText" dxfId="1002" priority="11" operator="containsText" text="Nubank">
      <formula>NOT(ISERROR(SEARCH("Nubank",M8)))</formula>
    </cfRule>
    <cfRule type="containsText" dxfId="1001" priority="12" operator="containsText" text="Inter">
      <formula>NOT(ISERROR(SEARCH("Inter",M8)))</formula>
    </cfRule>
    <cfRule type="containsText" dxfId="1000" priority="13" operator="containsText" text="Itaú">
      <formula>NOT(ISERROR(SEARCH("Itaú",M8)))</formula>
    </cfRule>
  </conditionalFormatting>
  <conditionalFormatting sqref="N8:O35">
    <cfRule type="containsText" dxfId="999" priority="46" operator="containsText" text="Mercado">
      <formula>NOT(ISERROR(SEARCH("Mercado",N8)))</formula>
    </cfRule>
    <cfRule type="containsText" dxfId="998" priority="47" operator="containsText" text="Despesas eventuais">
      <formula>NOT(ISERROR(SEARCH("Despesas eventuais",N8)))</formula>
    </cfRule>
    <cfRule type="containsText" dxfId="997" priority="48" operator="containsText" text="Necessidades">
      <formula>NOT(ISERROR(SEARCH("Necessidades",N8)))</formula>
    </cfRule>
    <cfRule type="containsText" dxfId="996" priority="49" operator="containsText" text="Roupa">
      <formula>NOT(ISERROR(SEARCH("Roupa",N8)))</formula>
    </cfRule>
    <cfRule type="containsText" dxfId="995" priority="50" operator="containsText" text="Saúde">
      <formula>NOT(ISERROR(SEARCH("Saúde",N8)))</formula>
    </cfRule>
    <cfRule type="containsText" dxfId="994" priority="51" operator="containsText" text="Presentes">
      <formula>NOT(ISERROR(SEARCH("Presentes",N8)))</formula>
    </cfRule>
    <cfRule type="containsText" dxfId="993" priority="52" operator="containsText" text="Beleza">
      <formula>NOT(ISERROR(SEARCH("Beleza",N8)))</formula>
    </cfRule>
    <cfRule type="containsText" dxfId="992" priority="53" operator="containsText" text="Desenvolvimento">
      <formula>NOT(ISERROR(SEARCH("Desenvolvimento",N8)))</formula>
    </cfRule>
    <cfRule type="containsText" dxfId="991" priority="54" operator="containsText" text="Lazer">
      <formula>NOT(ISERROR(SEARCH("Lazer",N8)))</formula>
    </cfRule>
    <cfRule type="containsText" dxfId="990" priority="55" operator="containsText" text="Eletrônicos">
      <formula>NOT(ISERROR(SEARCH("Eletrônicos",N8)))</formula>
    </cfRule>
    <cfRule type="containsText" dxfId="989" priority="56" operator="containsText" text="Assinaturas">
      <formula>NOT(ISERROR(SEARCH("Assinaturas",N8)))</formula>
    </cfRule>
    <cfRule type="containsText" dxfId="988" priority="57" operator="containsText" text="Uber transporte">
      <formula>NOT(ISERROR(SEARCH("Uber transporte",N8)))</formula>
    </cfRule>
    <cfRule type="containsText" dxfId="987" priority="58" operator="containsText" text="iFood/restaurante">
      <formula>NOT(ISERROR(SEARCH("iFood/restaurante",N8)))</formula>
    </cfRule>
    <cfRule type="containsText" dxfId="986" priority="59" operator="containsText" text="Comida faculdade">
      <formula>NOT(ISERROR(SEARCH("Comida faculdade",N8)))</formula>
    </cfRule>
    <cfRule type="containsText" dxfId="985" priority="60" operator="containsText" text="Contas">
      <formula>NOT(ISERROR(SEARCH("Contas",N8)))</formula>
    </cfRule>
    <cfRule type="containsText" dxfId="984" priority="61" operator="containsText" text="Outros">
      <formula>NOT(ISERROR(SEARCH("Outros",N8)))</formula>
    </cfRule>
  </conditionalFormatting>
  <conditionalFormatting sqref="S3">
    <cfRule type="cellIs" dxfId="983" priority="85" operator="greaterThanOrEqual">
      <formula>0</formula>
    </cfRule>
    <cfRule type="cellIs" dxfId="982" priority="86" operator="lessThan">
      <formula>0</formula>
    </cfRule>
  </conditionalFormatting>
  <conditionalFormatting sqref="U5:U20">
    <cfRule type="containsText" dxfId="981" priority="66" operator="containsText" text="Necessidades">
      <formula>NOT(ISERROR(SEARCH("Necessidades",U5)))</formula>
    </cfRule>
    <cfRule type="containsText" dxfId="980" priority="67" operator="containsText" text="Roupa">
      <formula>NOT(ISERROR(SEARCH("Roupa",U5)))</formula>
    </cfRule>
    <cfRule type="containsText" dxfId="979" priority="68" operator="containsText" text="Saúde">
      <formula>NOT(ISERROR(SEARCH("Saúde",U5)))</formula>
    </cfRule>
    <cfRule type="containsText" dxfId="978" priority="69" operator="containsText" text="Presentes">
      <formula>NOT(ISERROR(SEARCH("Presentes",U5)))</formula>
    </cfRule>
    <cfRule type="containsText" dxfId="977" priority="70" operator="containsText" text="Beleza">
      <formula>NOT(ISERROR(SEARCH("Beleza",U5)))</formula>
    </cfRule>
    <cfRule type="containsText" dxfId="976" priority="71" operator="containsText" text="Desenvolvimento">
      <formula>NOT(ISERROR(SEARCH("Desenvolvimento",U5)))</formula>
    </cfRule>
    <cfRule type="containsText" dxfId="975" priority="72" operator="containsText" text="Lazer">
      <formula>NOT(ISERROR(SEARCH("Lazer",U5)))</formula>
    </cfRule>
    <cfRule type="containsText" dxfId="974" priority="73" operator="containsText" text="Eletrônicos">
      <formula>NOT(ISERROR(SEARCH("Eletrônicos",U5)))</formula>
    </cfRule>
    <cfRule type="containsText" dxfId="973" priority="74" operator="containsText" text="Assinaturas">
      <formula>NOT(ISERROR(SEARCH("Assinaturas",U5)))</formula>
    </cfRule>
    <cfRule type="containsText" dxfId="972" priority="75" operator="containsText" text="Uber transporte">
      <formula>NOT(ISERROR(SEARCH("Uber transporte",U5)))</formula>
    </cfRule>
    <cfRule type="containsText" dxfId="971" priority="76" operator="containsText" text="iFood/restaurante">
      <formula>NOT(ISERROR(SEARCH("iFood/restaurante",U5)))</formula>
    </cfRule>
    <cfRule type="containsText" dxfId="970" priority="77" operator="containsText" text="Comida faculdade">
      <formula>NOT(ISERROR(SEARCH("Comida faculdade",U5)))</formula>
    </cfRule>
    <cfRule type="containsText" dxfId="969" priority="78" operator="containsText" text="Contas">
      <formula>NOT(ISERROR(SEARCH("Contas",U5)))</formula>
    </cfRule>
    <cfRule type="containsText" dxfId="968" priority="79" operator="containsText" text="Outros">
      <formula>NOT(ISERROR(SEARCH("Outros",U5)))</formula>
    </cfRule>
    <cfRule type="containsText" dxfId="967" priority="64" operator="containsText" text="Mercado">
      <formula>NOT(ISERROR(SEARCH("Mercado",U5)))</formula>
    </cfRule>
    <cfRule type="containsText" dxfId="966" priority="65" operator="containsText" text="Despesas eventuais">
      <formula>NOT(ISERROR(SEARCH("Despesas eventuais",U5)))</formula>
    </cfRule>
  </conditionalFormatting>
  <conditionalFormatting sqref="U24:U27">
    <cfRule type="containsText" dxfId="965" priority="82" operator="containsText" text="Inter">
      <formula>NOT(ISERROR(SEARCH("Inter",U24)))</formula>
    </cfRule>
    <cfRule type="containsText" dxfId="964" priority="83" operator="containsText" text="Itaú">
      <formula>NOT(ISERROR(SEARCH("Itaú",U24)))</formula>
    </cfRule>
    <cfRule type="containsText" dxfId="963" priority="80" operator="containsText" text="Débito">
      <formula>NOT(ISERROR(SEARCH("Débito",U24)))</formula>
    </cfRule>
    <cfRule type="containsText" dxfId="962" priority="81" operator="containsText" text="Nubank">
      <formula>NOT(ISERROR(SEARCH("Nubank",U24)))</formula>
    </cfRule>
  </conditionalFormatting>
  <conditionalFormatting sqref="W5:W20">
    <cfRule type="expression" dxfId="961" priority="87">
      <formula>AND($V5&gt;0,W5&gt;$V5)</formula>
    </cfRule>
  </conditionalFormatting>
  <conditionalFormatting sqref="X5:X20">
    <cfRule type="expression" dxfId="960" priority="88">
      <formula>AND($V5&gt;0,W5&gt;$V5)</formula>
    </cfRule>
  </conditionalFormatting>
  <conditionalFormatting sqref="X24:X27">
    <cfRule type="containsText" dxfId="959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0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0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0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51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958" priority="63" operator="containsText" text="☐">
      <formula>NOT(ISERROR(SEARCH("☐",D11)))</formula>
    </cfRule>
    <cfRule type="containsText" dxfId="957" priority="62" operator="containsText" text="☑">
      <formula>NOT(ISERROR(SEARCH("☑",D11)))</formula>
    </cfRule>
  </conditionalFormatting>
  <conditionalFormatting sqref="F11:F18">
    <cfRule type="containsText" dxfId="956" priority="2" operator="containsText" text="Débito">
      <formula>NOT(ISERROR(SEARCH("Débito",F11)))</formula>
    </cfRule>
    <cfRule type="containsText" dxfId="955" priority="3" operator="containsText" text="Nubank">
      <formula>NOT(ISERROR(SEARCH("Nubank",F11)))</formula>
    </cfRule>
    <cfRule type="containsText" dxfId="954" priority="4" operator="containsText" text="Inter">
      <formula>NOT(ISERROR(SEARCH("Inter",F11)))</formula>
    </cfRule>
    <cfRule type="containsText" dxfId="953" priority="5" operator="containsText" text="Itaú">
      <formula>NOT(ISERROR(SEARCH("Itaú",F11)))</formula>
    </cfRule>
  </conditionalFormatting>
  <conditionalFormatting sqref="F24:F35">
    <cfRule type="containsText" dxfId="952" priority="6" operator="containsText" text="Débito">
      <formula>NOT(ISERROR(SEARCH("Débito",F24)))</formula>
    </cfRule>
    <cfRule type="containsText" dxfId="951" priority="7" operator="containsText" text="Nubank">
      <formula>NOT(ISERROR(SEARCH("Nubank",F24)))</formula>
    </cfRule>
    <cfRule type="containsText" dxfId="950" priority="8" operator="containsText" text="Inter">
      <formula>NOT(ISERROR(SEARCH("Inter",F24)))</formula>
    </cfRule>
    <cfRule type="containsText" dxfId="949" priority="9" operator="containsText" text="Itaú">
      <formula>NOT(ISERROR(SEARCH("Itaú",F24)))</formula>
    </cfRule>
  </conditionalFormatting>
  <conditionalFormatting sqref="G11:G18">
    <cfRule type="containsText" dxfId="948" priority="28" operator="containsText" text="Contas">
      <formula>NOT(ISERROR(SEARCH("Contas",G11)))</formula>
    </cfRule>
    <cfRule type="containsText" dxfId="947" priority="29" operator="containsText" text="Outros">
      <formula>NOT(ISERROR(SEARCH("Outros",G11)))</formula>
    </cfRule>
    <cfRule type="containsText" dxfId="946" priority="22" operator="containsText" text="Lazer">
      <formula>NOT(ISERROR(SEARCH("Lazer",G11)))</formula>
    </cfRule>
    <cfRule type="containsText" dxfId="945" priority="14" operator="containsText" text="Mercado">
      <formula>NOT(ISERROR(SEARCH("Mercado",G11)))</formula>
    </cfRule>
    <cfRule type="containsText" dxfId="944" priority="15" operator="containsText" text="Despesas eventuais">
      <formula>NOT(ISERROR(SEARCH("Despesas eventuais",G11)))</formula>
    </cfRule>
    <cfRule type="containsText" dxfId="943" priority="16" operator="containsText" text="Necessidades">
      <formula>NOT(ISERROR(SEARCH("Necessidades",G11)))</formula>
    </cfRule>
    <cfRule type="containsText" dxfId="942" priority="17" operator="containsText" text="Roupa">
      <formula>NOT(ISERROR(SEARCH("Roupa",G11)))</formula>
    </cfRule>
    <cfRule type="containsText" dxfId="941" priority="18" operator="containsText" text="Saúde">
      <formula>NOT(ISERROR(SEARCH("Saúde",G11)))</formula>
    </cfRule>
    <cfRule type="containsText" dxfId="940" priority="19" operator="containsText" text="Presentes">
      <formula>NOT(ISERROR(SEARCH("Presentes",G11)))</formula>
    </cfRule>
    <cfRule type="containsText" dxfId="939" priority="20" operator="containsText" text="Beleza">
      <formula>NOT(ISERROR(SEARCH("Beleza",G11)))</formula>
    </cfRule>
    <cfRule type="containsText" dxfId="938" priority="21" operator="containsText" text="Desenvolvimento">
      <formula>NOT(ISERROR(SEARCH("Desenvolvimento",G11)))</formula>
    </cfRule>
    <cfRule type="containsText" dxfId="937" priority="23" operator="containsText" text="Eletrônicos">
      <formula>NOT(ISERROR(SEARCH("Eletrônicos",G11)))</formula>
    </cfRule>
    <cfRule type="containsText" dxfId="936" priority="24" operator="containsText" text="Assinaturas">
      <formula>NOT(ISERROR(SEARCH("Assinaturas",G11)))</formula>
    </cfRule>
    <cfRule type="containsText" dxfId="935" priority="25" operator="containsText" text="Uber transporte">
      <formula>NOT(ISERROR(SEARCH("Uber transporte",G11)))</formula>
    </cfRule>
    <cfRule type="containsText" dxfId="934" priority="26" operator="containsText" text="iFood/restaurante">
      <formula>NOT(ISERROR(SEARCH("iFood/restaurante",G11)))</formula>
    </cfRule>
    <cfRule type="containsText" dxfId="933" priority="27" operator="containsText" text="Comida faculdade">
      <formula>NOT(ISERROR(SEARCH("Comida faculdade",G11)))</formula>
    </cfRule>
  </conditionalFormatting>
  <conditionalFormatting sqref="G24:G35">
    <cfRule type="containsText" dxfId="932" priority="44" operator="containsText" text="Contas">
      <formula>NOT(ISERROR(SEARCH("Contas",G24)))</formula>
    </cfRule>
    <cfRule type="containsText" dxfId="931" priority="45" operator="containsText" text="Outros">
      <formula>NOT(ISERROR(SEARCH("Outros",G24)))</formula>
    </cfRule>
    <cfRule type="containsText" dxfId="930" priority="30" operator="containsText" text="Mercado">
      <formula>NOT(ISERROR(SEARCH("Mercado",G24)))</formula>
    </cfRule>
    <cfRule type="containsText" dxfId="929" priority="31" operator="containsText" text="Despesas eventuais">
      <formula>NOT(ISERROR(SEARCH("Despesas eventuais",G24)))</formula>
    </cfRule>
    <cfRule type="containsText" dxfId="928" priority="32" operator="containsText" text="Necessidades">
      <formula>NOT(ISERROR(SEARCH("Necessidades",G24)))</formula>
    </cfRule>
    <cfRule type="containsText" dxfId="927" priority="33" operator="containsText" text="Roupa">
      <formula>NOT(ISERROR(SEARCH("Roupa",G24)))</formula>
    </cfRule>
    <cfRule type="containsText" dxfId="926" priority="34" operator="containsText" text="Saúde">
      <formula>NOT(ISERROR(SEARCH("Saúde",G24)))</formula>
    </cfRule>
    <cfRule type="containsText" dxfId="925" priority="35" operator="containsText" text="Presentes">
      <formula>NOT(ISERROR(SEARCH("Presentes",G24)))</formula>
    </cfRule>
    <cfRule type="containsText" dxfId="924" priority="36" operator="containsText" text="Beleza">
      <formula>NOT(ISERROR(SEARCH("Beleza",G24)))</formula>
    </cfRule>
    <cfRule type="containsText" dxfId="923" priority="37" operator="containsText" text="Desenvolvimento">
      <formula>NOT(ISERROR(SEARCH("Desenvolvimento",G24)))</formula>
    </cfRule>
    <cfRule type="containsText" dxfId="922" priority="38" operator="containsText" text="Lazer">
      <formula>NOT(ISERROR(SEARCH("Lazer",G24)))</formula>
    </cfRule>
    <cfRule type="containsText" dxfId="921" priority="39" operator="containsText" text="Eletrônicos">
      <formula>NOT(ISERROR(SEARCH("Eletrônicos",G24)))</formula>
    </cfRule>
    <cfRule type="containsText" dxfId="920" priority="40" operator="containsText" text="Assinaturas">
      <formula>NOT(ISERROR(SEARCH("Assinaturas",G24)))</formula>
    </cfRule>
    <cfRule type="containsText" dxfId="919" priority="41" operator="containsText" text="Uber transporte">
      <formula>NOT(ISERROR(SEARCH("Uber transporte",G24)))</formula>
    </cfRule>
    <cfRule type="containsText" dxfId="918" priority="42" operator="containsText" text="iFood/restaurante">
      <formula>NOT(ISERROR(SEARCH("iFood/restaurante",G24)))</formula>
    </cfRule>
    <cfRule type="containsText" dxfId="917" priority="43" operator="containsText" text="Comida faculdade">
      <formula>NOT(ISERROR(SEARCH("Comida faculdade",G24)))</formula>
    </cfRule>
  </conditionalFormatting>
  <conditionalFormatting sqref="M8:M35">
    <cfRule type="containsText" dxfId="916" priority="10" operator="containsText" text="Débito">
      <formula>NOT(ISERROR(SEARCH("Débito",M8)))</formula>
    </cfRule>
    <cfRule type="containsText" dxfId="915" priority="11" operator="containsText" text="Nubank">
      <formula>NOT(ISERROR(SEARCH("Nubank",M8)))</formula>
    </cfRule>
    <cfRule type="containsText" dxfId="914" priority="12" operator="containsText" text="Inter">
      <formula>NOT(ISERROR(SEARCH("Inter",M8)))</formula>
    </cfRule>
    <cfRule type="containsText" dxfId="913" priority="13" operator="containsText" text="Itaú">
      <formula>NOT(ISERROR(SEARCH("Itaú",M8)))</formula>
    </cfRule>
  </conditionalFormatting>
  <conditionalFormatting sqref="N8:O35">
    <cfRule type="containsText" dxfId="912" priority="46" operator="containsText" text="Mercado">
      <formula>NOT(ISERROR(SEARCH("Mercado",N8)))</formula>
    </cfRule>
    <cfRule type="containsText" dxfId="911" priority="47" operator="containsText" text="Despesas eventuais">
      <formula>NOT(ISERROR(SEARCH("Despesas eventuais",N8)))</formula>
    </cfRule>
    <cfRule type="containsText" dxfId="910" priority="48" operator="containsText" text="Necessidades">
      <formula>NOT(ISERROR(SEARCH("Necessidades",N8)))</formula>
    </cfRule>
    <cfRule type="containsText" dxfId="909" priority="49" operator="containsText" text="Roupa">
      <formula>NOT(ISERROR(SEARCH("Roupa",N8)))</formula>
    </cfRule>
    <cfRule type="containsText" dxfId="908" priority="50" operator="containsText" text="Saúde">
      <formula>NOT(ISERROR(SEARCH("Saúde",N8)))</formula>
    </cfRule>
    <cfRule type="containsText" dxfId="907" priority="51" operator="containsText" text="Presentes">
      <formula>NOT(ISERROR(SEARCH("Presentes",N8)))</formula>
    </cfRule>
    <cfRule type="containsText" dxfId="906" priority="52" operator="containsText" text="Beleza">
      <formula>NOT(ISERROR(SEARCH("Beleza",N8)))</formula>
    </cfRule>
    <cfRule type="containsText" dxfId="905" priority="53" operator="containsText" text="Desenvolvimento">
      <formula>NOT(ISERROR(SEARCH("Desenvolvimento",N8)))</formula>
    </cfRule>
    <cfRule type="containsText" dxfId="904" priority="54" operator="containsText" text="Lazer">
      <formula>NOT(ISERROR(SEARCH("Lazer",N8)))</formula>
    </cfRule>
    <cfRule type="containsText" dxfId="903" priority="55" operator="containsText" text="Eletrônicos">
      <formula>NOT(ISERROR(SEARCH("Eletrônicos",N8)))</formula>
    </cfRule>
    <cfRule type="containsText" dxfId="902" priority="56" operator="containsText" text="Assinaturas">
      <formula>NOT(ISERROR(SEARCH("Assinaturas",N8)))</formula>
    </cfRule>
    <cfRule type="containsText" dxfId="901" priority="57" operator="containsText" text="Uber transporte">
      <formula>NOT(ISERROR(SEARCH("Uber transporte",N8)))</formula>
    </cfRule>
    <cfRule type="containsText" dxfId="900" priority="58" operator="containsText" text="iFood/restaurante">
      <formula>NOT(ISERROR(SEARCH("iFood/restaurante",N8)))</formula>
    </cfRule>
    <cfRule type="containsText" dxfId="899" priority="59" operator="containsText" text="Comida faculdade">
      <formula>NOT(ISERROR(SEARCH("Comida faculdade",N8)))</formula>
    </cfRule>
    <cfRule type="containsText" dxfId="898" priority="60" operator="containsText" text="Contas">
      <formula>NOT(ISERROR(SEARCH("Contas",N8)))</formula>
    </cfRule>
    <cfRule type="containsText" dxfId="897" priority="61" operator="containsText" text="Outros">
      <formula>NOT(ISERROR(SEARCH("Outros",N8)))</formula>
    </cfRule>
  </conditionalFormatting>
  <conditionalFormatting sqref="S3">
    <cfRule type="cellIs" dxfId="896" priority="85" operator="greaterThanOrEqual">
      <formula>0</formula>
    </cfRule>
    <cfRule type="cellIs" dxfId="895" priority="86" operator="lessThan">
      <formula>0</formula>
    </cfRule>
  </conditionalFormatting>
  <conditionalFormatting sqref="U5:U20">
    <cfRule type="containsText" dxfId="894" priority="66" operator="containsText" text="Necessidades">
      <formula>NOT(ISERROR(SEARCH("Necessidades",U5)))</formula>
    </cfRule>
    <cfRule type="containsText" dxfId="893" priority="67" operator="containsText" text="Roupa">
      <formula>NOT(ISERROR(SEARCH("Roupa",U5)))</formula>
    </cfRule>
    <cfRule type="containsText" dxfId="892" priority="68" operator="containsText" text="Saúde">
      <formula>NOT(ISERROR(SEARCH("Saúde",U5)))</formula>
    </cfRule>
    <cfRule type="containsText" dxfId="891" priority="69" operator="containsText" text="Presentes">
      <formula>NOT(ISERROR(SEARCH("Presentes",U5)))</formula>
    </cfRule>
    <cfRule type="containsText" dxfId="890" priority="70" operator="containsText" text="Beleza">
      <formula>NOT(ISERROR(SEARCH("Beleza",U5)))</formula>
    </cfRule>
    <cfRule type="containsText" dxfId="889" priority="71" operator="containsText" text="Desenvolvimento">
      <formula>NOT(ISERROR(SEARCH("Desenvolvimento",U5)))</formula>
    </cfRule>
    <cfRule type="containsText" dxfId="888" priority="72" operator="containsText" text="Lazer">
      <formula>NOT(ISERROR(SEARCH("Lazer",U5)))</formula>
    </cfRule>
    <cfRule type="containsText" dxfId="887" priority="73" operator="containsText" text="Eletrônicos">
      <formula>NOT(ISERROR(SEARCH("Eletrônicos",U5)))</formula>
    </cfRule>
    <cfRule type="containsText" dxfId="886" priority="74" operator="containsText" text="Assinaturas">
      <formula>NOT(ISERROR(SEARCH("Assinaturas",U5)))</formula>
    </cfRule>
    <cfRule type="containsText" dxfId="885" priority="75" operator="containsText" text="Uber transporte">
      <formula>NOT(ISERROR(SEARCH("Uber transporte",U5)))</formula>
    </cfRule>
    <cfRule type="containsText" dxfId="884" priority="76" operator="containsText" text="iFood/restaurante">
      <formula>NOT(ISERROR(SEARCH("iFood/restaurante",U5)))</formula>
    </cfRule>
    <cfRule type="containsText" dxfId="883" priority="77" operator="containsText" text="Comida faculdade">
      <formula>NOT(ISERROR(SEARCH("Comida faculdade",U5)))</formula>
    </cfRule>
    <cfRule type="containsText" dxfId="882" priority="78" operator="containsText" text="Contas">
      <formula>NOT(ISERROR(SEARCH("Contas",U5)))</formula>
    </cfRule>
    <cfRule type="containsText" dxfId="881" priority="79" operator="containsText" text="Outros">
      <formula>NOT(ISERROR(SEARCH("Outros",U5)))</formula>
    </cfRule>
    <cfRule type="containsText" dxfId="880" priority="64" operator="containsText" text="Mercado">
      <formula>NOT(ISERROR(SEARCH("Mercado",U5)))</formula>
    </cfRule>
    <cfRule type="containsText" dxfId="879" priority="65" operator="containsText" text="Despesas eventuais">
      <formula>NOT(ISERROR(SEARCH("Despesas eventuais",U5)))</formula>
    </cfRule>
  </conditionalFormatting>
  <conditionalFormatting sqref="U24:U27">
    <cfRule type="containsText" dxfId="878" priority="82" operator="containsText" text="Inter">
      <formula>NOT(ISERROR(SEARCH("Inter",U24)))</formula>
    </cfRule>
    <cfRule type="containsText" dxfId="877" priority="83" operator="containsText" text="Itaú">
      <formula>NOT(ISERROR(SEARCH("Itaú",U24)))</formula>
    </cfRule>
    <cfRule type="containsText" dxfId="876" priority="80" operator="containsText" text="Débito">
      <formula>NOT(ISERROR(SEARCH("Débito",U24)))</formula>
    </cfRule>
    <cfRule type="containsText" dxfId="875" priority="81" operator="containsText" text="Nubank">
      <formula>NOT(ISERROR(SEARCH("Nubank",U24)))</formula>
    </cfRule>
  </conditionalFormatting>
  <conditionalFormatting sqref="W5:W20">
    <cfRule type="expression" dxfId="874" priority="87">
      <formula>AND($V5&gt;0,W5&gt;$V5)</formula>
    </cfRule>
  </conditionalFormatting>
  <conditionalFormatting sqref="X5:X20">
    <cfRule type="expression" dxfId="873" priority="88">
      <formula>AND($V5&gt;0,W5&gt;$V5)</formula>
    </cfRule>
  </conditionalFormatting>
  <conditionalFormatting sqref="X24:X27">
    <cfRule type="containsText" dxfId="872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1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1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1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52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871" priority="63" operator="containsText" text="☐">
      <formula>NOT(ISERROR(SEARCH("☐",D11)))</formula>
    </cfRule>
    <cfRule type="containsText" dxfId="870" priority="62" operator="containsText" text="☑">
      <formula>NOT(ISERROR(SEARCH("☑",D11)))</formula>
    </cfRule>
  </conditionalFormatting>
  <conditionalFormatting sqref="F11:F18">
    <cfRule type="containsText" dxfId="869" priority="2" operator="containsText" text="Débito">
      <formula>NOT(ISERROR(SEARCH("Débito",F11)))</formula>
    </cfRule>
    <cfRule type="containsText" dxfId="868" priority="3" operator="containsText" text="Nubank">
      <formula>NOT(ISERROR(SEARCH("Nubank",F11)))</formula>
    </cfRule>
    <cfRule type="containsText" dxfId="867" priority="4" operator="containsText" text="Inter">
      <formula>NOT(ISERROR(SEARCH("Inter",F11)))</formula>
    </cfRule>
    <cfRule type="containsText" dxfId="866" priority="5" operator="containsText" text="Itaú">
      <formula>NOT(ISERROR(SEARCH("Itaú",F11)))</formula>
    </cfRule>
  </conditionalFormatting>
  <conditionalFormatting sqref="F24:F35">
    <cfRule type="containsText" dxfId="865" priority="6" operator="containsText" text="Débito">
      <formula>NOT(ISERROR(SEARCH("Débito",F24)))</formula>
    </cfRule>
    <cfRule type="containsText" dxfId="864" priority="7" operator="containsText" text="Nubank">
      <formula>NOT(ISERROR(SEARCH("Nubank",F24)))</formula>
    </cfRule>
    <cfRule type="containsText" dxfId="863" priority="8" operator="containsText" text="Inter">
      <formula>NOT(ISERROR(SEARCH("Inter",F24)))</formula>
    </cfRule>
    <cfRule type="containsText" dxfId="862" priority="9" operator="containsText" text="Itaú">
      <formula>NOT(ISERROR(SEARCH("Itaú",F24)))</formula>
    </cfRule>
  </conditionalFormatting>
  <conditionalFormatting sqref="G11:G18">
    <cfRule type="containsText" dxfId="861" priority="28" operator="containsText" text="Contas">
      <formula>NOT(ISERROR(SEARCH("Contas",G11)))</formula>
    </cfRule>
    <cfRule type="containsText" dxfId="860" priority="29" operator="containsText" text="Outros">
      <formula>NOT(ISERROR(SEARCH("Outros",G11)))</formula>
    </cfRule>
    <cfRule type="containsText" dxfId="859" priority="22" operator="containsText" text="Lazer">
      <formula>NOT(ISERROR(SEARCH("Lazer",G11)))</formula>
    </cfRule>
    <cfRule type="containsText" dxfId="858" priority="14" operator="containsText" text="Mercado">
      <formula>NOT(ISERROR(SEARCH("Mercado",G11)))</formula>
    </cfRule>
    <cfRule type="containsText" dxfId="857" priority="15" operator="containsText" text="Despesas eventuais">
      <formula>NOT(ISERROR(SEARCH("Despesas eventuais",G11)))</formula>
    </cfRule>
    <cfRule type="containsText" dxfId="856" priority="16" operator="containsText" text="Necessidades">
      <formula>NOT(ISERROR(SEARCH("Necessidades",G11)))</formula>
    </cfRule>
    <cfRule type="containsText" dxfId="855" priority="17" operator="containsText" text="Roupa">
      <formula>NOT(ISERROR(SEARCH("Roupa",G11)))</formula>
    </cfRule>
    <cfRule type="containsText" dxfId="854" priority="18" operator="containsText" text="Saúde">
      <formula>NOT(ISERROR(SEARCH("Saúde",G11)))</formula>
    </cfRule>
    <cfRule type="containsText" dxfId="853" priority="19" operator="containsText" text="Presentes">
      <formula>NOT(ISERROR(SEARCH("Presentes",G11)))</formula>
    </cfRule>
    <cfRule type="containsText" dxfId="852" priority="20" operator="containsText" text="Beleza">
      <formula>NOT(ISERROR(SEARCH("Beleza",G11)))</formula>
    </cfRule>
    <cfRule type="containsText" dxfId="851" priority="21" operator="containsText" text="Desenvolvimento">
      <formula>NOT(ISERROR(SEARCH("Desenvolvimento",G11)))</formula>
    </cfRule>
    <cfRule type="containsText" dxfId="850" priority="23" operator="containsText" text="Eletrônicos">
      <formula>NOT(ISERROR(SEARCH("Eletrônicos",G11)))</formula>
    </cfRule>
    <cfRule type="containsText" dxfId="849" priority="24" operator="containsText" text="Assinaturas">
      <formula>NOT(ISERROR(SEARCH("Assinaturas",G11)))</formula>
    </cfRule>
    <cfRule type="containsText" dxfId="848" priority="25" operator="containsText" text="Uber transporte">
      <formula>NOT(ISERROR(SEARCH("Uber transporte",G11)))</formula>
    </cfRule>
    <cfRule type="containsText" dxfId="847" priority="26" operator="containsText" text="iFood/restaurante">
      <formula>NOT(ISERROR(SEARCH("iFood/restaurante",G11)))</formula>
    </cfRule>
    <cfRule type="containsText" dxfId="846" priority="27" operator="containsText" text="Comida faculdade">
      <formula>NOT(ISERROR(SEARCH("Comida faculdade",G11)))</formula>
    </cfRule>
  </conditionalFormatting>
  <conditionalFormatting sqref="G24:G35">
    <cfRule type="containsText" dxfId="845" priority="44" operator="containsText" text="Contas">
      <formula>NOT(ISERROR(SEARCH("Contas",G24)))</formula>
    </cfRule>
    <cfRule type="containsText" dxfId="844" priority="45" operator="containsText" text="Outros">
      <formula>NOT(ISERROR(SEARCH("Outros",G24)))</formula>
    </cfRule>
    <cfRule type="containsText" dxfId="843" priority="30" operator="containsText" text="Mercado">
      <formula>NOT(ISERROR(SEARCH("Mercado",G24)))</formula>
    </cfRule>
    <cfRule type="containsText" dxfId="842" priority="31" operator="containsText" text="Despesas eventuais">
      <formula>NOT(ISERROR(SEARCH("Despesas eventuais",G24)))</formula>
    </cfRule>
    <cfRule type="containsText" dxfId="841" priority="32" operator="containsText" text="Necessidades">
      <formula>NOT(ISERROR(SEARCH("Necessidades",G24)))</formula>
    </cfRule>
    <cfRule type="containsText" dxfId="840" priority="33" operator="containsText" text="Roupa">
      <formula>NOT(ISERROR(SEARCH("Roupa",G24)))</formula>
    </cfRule>
    <cfRule type="containsText" dxfId="839" priority="34" operator="containsText" text="Saúde">
      <formula>NOT(ISERROR(SEARCH("Saúde",G24)))</formula>
    </cfRule>
    <cfRule type="containsText" dxfId="838" priority="35" operator="containsText" text="Presentes">
      <formula>NOT(ISERROR(SEARCH("Presentes",G24)))</formula>
    </cfRule>
    <cfRule type="containsText" dxfId="837" priority="36" operator="containsText" text="Beleza">
      <formula>NOT(ISERROR(SEARCH("Beleza",G24)))</formula>
    </cfRule>
    <cfRule type="containsText" dxfId="836" priority="37" operator="containsText" text="Desenvolvimento">
      <formula>NOT(ISERROR(SEARCH("Desenvolvimento",G24)))</formula>
    </cfRule>
    <cfRule type="containsText" dxfId="835" priority="38" operator="containsText" text="Lazer">
      <formula>NOT(ISERROR(SEARCH("Lazer",G24)))</formula>
    </cfRule>
    <cfRule type="containsText" dxfId="834" priority="39" operator="containsText" text="Eletrônicos">
      <formula>NOT(ISERROR(SEARCH("Eletrônicos",G24)))</formula>
    </cfRule>
    <cfRule type="containsText" dxfId="833" priority="40" operator="containsText" text="Assinaturas">
      <formula>NOT(ISERROR(SEARCH("Assinaturas",G24)))</formula>
    </cfRule>
    <cfRule type="containsText" dxfId="832" priority="41" operator="containsText" text="Uber transporte">
      <formula>NOT(ISERROR(SEARCH("Uber transporte",G24)))</formula>
    </cfRule>
    <cfRule type="containsText" dxfId="831" priority="42" operator="containsText" text="iFood/restaurante">
      <formula>NOT(ISERROR(SEARCH("iFood/restaurante",G24)))</formula>
    </cfRule>
    <cfRule type="containsText" dxfId="830" priority="43" operator="containsText" text="Comida faculdade">
      <formula>NOT(ISERROR(SEARCH("Comida faculdade",G24)))</formula>
    </cfRule>
  </conditionalFormatting>
  <conditionalFormatting sqref="M8:M35">
    <cfRule type="containsText" dxfId="829" priority="10" operator="containsText" text="Débito">
      <formula>NOT(ISERROR(SEARCH("Débito",M8)))</formula>
    </cfRule>
    <cfRule type="containsText" dxfId="828" priority="11" operator="containsText" text="Nubank">
      <formula>NOT(ISERROR(SEARCH("Nubank",M8)))</formula>
    </cfRule>
    <cfRule type="containsText" dxfId="827" priority="12" operator="containsText" text="Inter">
      <formula>NOT(ISERROR(SEARCH("Inter",M8)))</formula>
    </cfRule>
    <cfRule type="containsText" dxfId="826" priority="13" operator="containsText" text="Itaú">
      <formula>NOT(ISERROR(SEARCH("Itaú",M8)))</formula>
    </cfRule>
  </conditionalFormatting>
  <conditionalFormatting sqref="N8:O35">
    <cfRule type="containsText" dxfId="825" priority="46" operator="containsText" text="Mercado">
      <formula>NOT(ISERROR(SEARCH("Mercado",N8)))</formula>
    </cfRule>
    <cfRule type="containsText" dxfId="824" priority="47" operator="containsText" text="Despesas eventuais">
      <formula>NOT(ISERROR(SEARCH("Despesas eventuais",N8)))</formula>
    </cfRule>
    <cfRule type="containsText" dxfId="823" priority="48" operator="containsText" text="Necessidades">
      <formula>NOT(ISERROR(SEARCH("Necessidades",N8)))</formula>
    </cfRule>
    <cfRule type="containsText" dxfId="822" priority="49" operator="containsText" text="Roupa">
      <formula>NOT(ISERROR(SEARCH("Roupa",N8)))</formula>
    </cfRule>
    <cfRule type="containsText" dxfId="821" priority="50" operator="containsText" text="Saúde">
      <formula>NOT(ISERROR(SEARCH("Saúde",N8)))</formula>
    </cfRule>
    <cfRule type="containsText" dxfId="820" priority="51" operator="containsText" text="Presentes">
      <formula>NOT(ISERROR(SEARCH("Presentes",N8)))</formula>
    </cfRule>
    <cfRule type="containsText" dxfId="819" priority="52" operator="containsText" text="Beleza">
      <formula>NOT(ISERROR(SEARCH("Beleza",N8)))</formula>
    </cfRule>
    <cfRule type="containsText" dxfId="818" priority="53" operator="containsText" text="Desenvolvimento">
      <formula>NOT(ISERROR(SEARCH("Desenvolvimento",N8)))</formula>
    </cfRule>
    <cfRule type="containsText" dxfId="817" priority="54" operator="containsText" text="Lazer">
      <formula>NOT(ISERROR(SEARCH("Lazer",N8)))</formula>
    </cfRule>
    <cfRule type="containsText" dxfId="816" priority="55" operator="containsText" text="Eletrônicos">
      <formula>NOT(ISERROR(SEARCH("Eletrônicos",N8)))</formula>
    </cfRule>
    <cfRule type="containsText" dxfId="815" priority="56" operator="containsText" text="Assinaturas">
      <formula>NOT(ISERROR(SEARCH("Assinaturas",N8)))</formula>
    </cfRule>
    <cfRule type="containsText" dxfId="814" priority="57" operator="containsText" text="Uber transporte">
      <formula>NOT(ISERROR(SEARCH("Uber transporte",N8)))</formula>
    </cfRule>
    <cfRule type="containsText" dxfId="813" priority="58" operator="containsText" text="iFood/restaurante">
      <formula>NOT(ISERROR(SEARCH("iFood/restaurante",N8)))</formula>
    </cfRule>
    <cfRule type="containsText" dxfId="812" priority="59" operator="containsText" text="Comida faculdade">
      <formula>NOT(ISERROR(SEARCH("Comida faculdade",N8)))</formula>
    </cfRule>
    <cfRule type="containsText" dxfId="811" priority="60" operator="containsText" text="Contas">
      <formula>NOT(ISERROR(SEARCH("Contas",N8)))</formula>
    </cfRule>
    <cfRule type="containsText" dxfId="810" priority="61" operator="containsText" text="Outros">
      <formula>NOT(ISERROR(SEARCH("Outros",N8)))</formula>
    </cfRule>
  </conditionalFormatting>
  <conditionalFormatting sqref="S3">
    <cfRule type="cellIs" dxfId="809" priority="85" operator="greaterThanOrEqual">
      <formula>0</formula>
    </cfRule>
    <cfRule type="cellIs" dxfId="808" priority="86" operator="lessThan">
      <formula>0</formula>
    </cfRule>
  </conditionalFormatting>
  <conditionalFormatting sqref="U5:U20">
    <cfRule type="containsText" dxfId="807" priority="66" operator="containsText" text="Necessidades">
      <formula>NOT(ISERROR(SEARCH("Necessidades",U5)))</formula>
    </cfRule>
    <cfRule type="containsText" dxfId="806" priority="67" operator="containsText" text="Roupa">
      <formula>NOT(ISERROR(SEARCH("Roupa",U5)))</formula>
    </cfRule>
    <cfRule type="containsText" dxfId="805" priority="68" operator="containsText" text="Saúde">
      <formula>NOT(ISERROR(SEARCH("Saúde",U5)))</formula>
    </cfRule>
    <cfRule type="containsText" dxfId="804" priority="69" operator="containsText" text="Presentes">
      <formula>NOT(ISERROR(SEARCH("Presentes",U5)))</formula>
    </cfRule>
    <cfRule type="containsText" dxfId="803" priority="70" operator="containsText" text="Beleza">
      <formula>NOT(ISERROR(SEARCH("Beleza",U5)))</formula>
    </cfRule>
    <cfRule type="containsText" dxfId="802" priority="71" operator="containsText" text="Desenvolvimento">
      <formula>NOT(ISERROR(SEARCH("Desenvolvimento",U5)))</formula>
    </cfRule>
    <cfRule type="containsText" dxfId="801" priority="72" operator="containsText" text="Lazer">
      <formula>NOT(ISERROR(SEARCH("Lazer",U5)))</formula>
    </cfRule>
    <cfRule type="containsText" dxfId="800" priority="73" operator="containsText" text="Eletrônicos">
      <formula>NOT(ISERROR(SEARCH("Eletrônicos",U5)))</formula>
    </cfRule>
    <cfRule type="containsText" dxfId="799" priority="74" operator="containsText" text="Assinaturas">
      <formula>NOT(ISERROR(SEARCH("Assinaturas",U5)))</formula>
    </cfRule>
    <cfRule type="containsText" dxfId="798" priority="75" operator="containsText" text="Uber transporte">
      <formula>NOT(ISERROR(SEARCH("Uber transporte",U5)))</formula>
    </cfRule>
    <cfRule type="containsText" dxfId="797" priority="76" operator="containsText" text="iFood/restaurante">
      <formula>NOT(ISERROR(SEARCH("iFood/restaurante",U5)))</formula>
    </cfRule>
    <cfRule type="containsText" dxfId="796" priority="77" operator="containsText" text="Comida faculdade">
      <formula>NOT(ISERROR(SEARCH("Comida faculdade",U5)))</formula>
    </cfRule>
    <cfRule type="containsText" dxfId="795" priority="78" operator="containsText" text="Contas">
      <formula>NOT(ISERROR(SEARCH("Contas",U5)))</formula>
    </cfRule>
    <cfRule type="containsText" dxfId="794" priority="79" operator="containsText" text="Outros">
      <formula>NOT(ISERROR(SEARCH("Outros",U5)))</formula>
    </cfRule>
    <cfRule type="containsText" dxfId="793" priority="64" operator="containsText" text="Mercado">
      <formula>NOT(ISERROR(SEARCH("Mercado",U5)))</formula>
    </cfRule>
    <cfRule type="containsText" dxfId="792" priority="65" operator="containsText" text="Despesas eventuais">
      <formula>NOT(ISERROR(SEARCH("Despesas eventuais",U5)))</formula>
    </cfRule>
  </conditionalFormatting>
  <conditionalFormatting sqref="U24:U27">
    <cfRule type="containsText" dxfId="791" priority="82" operator="containsText" text="Inter">
      <formula>NOT(ISERROR(SEARCH("Inter",U24)))</formula>
    </cfRule>
    <cfRule type="containsText" dxfId="790" priority="83" operator="containsText" text="Itaú">
      <formula>NOT(ISERROR(SEARCH("Itaú",U24)))</formula>
    </cfRule>
    <cfRule type="containsText" dxfId="789" priority="80" operator="containsText" text="Débito">
      <formula>NOT(ISERROR(SEARCH("Débito",U24)))</formula>
    </cfRule>
    <cfRule type="containsText" dxfId="788" priority="81" operator="containsText" text="Nubank">
      <formula>NOT(ISERROR(SEARCH("Nubank",U24)))</formula>
    </cfRule>
  </conditionalFormatting>
  <conditionalFormatting sqref="W5:W20">
    <cfRule type="expression" dxfId="787" priority="87">
      <formula>AND($V5&gt;0,W5&gt;$V5)</formula>
    </cfRule>
  </conditionalFormatting>
  <conditionalFormatting sqref="X5:X20">
    <cfRule type="expression" dxfId="786" priority="88">
      <formula>AND($V5&gt;0,W5&gt;$V5)</formula>
    </cfRule>
  </conditionalFormatting>
  <conditionalFormatting sqref="X24:X27">
    <cfRule type="containsText" dxfId="785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2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2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2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53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784" priority="63" operator="containsText" text="☐">
      <formula>NOT(ISERROR(SEARCH("☐",D11)))</formula>
    </cfRule>
    <cfRule type="containsText" dxfId="783" priority="62" operator="containsText" text="☑">
      <formula>NOT(ISERROR(SEARCH("☑",D11)))</formula>
    </cfRule>
  </conditionalFormatting>
  <conditionalFormatting sqref="F11:F18">
    <cfRule type="containsText" dxfId="782" priority="2" operator="containsText" text="Débito">
      <formula>NOT(ISERROR(SEARCH("Débito",F11)))</formula>
    </cfRule>
    <cfRule type="containsText" dxfId="781" priority="3" operator="containsText" text="Nubank">
      <formula>NOT(ISERROR(SEARCH("Nubank",F11)))</formula>
    </cfRule>
    <cfRule type="containsText" dxfId="780" priority="4" operator="containsText" text="Inter">
      <formula>NOT(ISERROR(SEARCH("Inter",F11)))</formula>
    </cfRule>
    <cfRule type="containsText" dxfId="779" priority="5" operator="containsText" text="Itaú">
      <formula>NOT(ISERROR(SEARCH("Itaú",F11)))</formula>
    </cfRule>
  </conditionalFormatting>
  <conditionalFormatting sqref="F24:F35">
    <cfRule type="containsText" dxfId="778" priority="6" operator="containsText" text="Débito">
      <formula>NOT(ISERROR(SEARCH("Débito",F24)))</formula>
    </cfRule>
    <cfRule type="containsText" dxfId="777" priority="7" operator="containsText" text="Nubank">
      <formula>NOT(ISERROR(SEARCH("Nubank",F24)))</formula>
    </cfRule>
    <cfRule type="containsText" dxfId="776" priority="8" operator="containsText" text="Inter">
      <formula>NOT(ISERROR(SEARCH("Inter",F24)))</formula>
    </cfRule>
    <cfRule type="containsText" dxfId="775" priority="9" operator="containsText" text="Itaú">
      <formula>NOT(ISERROR(SEARCH("Itaú",F24)))</formula>
    </cfRule>
  </conditionalFormatting>
  <conditionalFormatting sqref="G11:G18">
    <cfRule type="containsText" dxfId="774" priority="28" operator="containsText" text="Contas">
      <formula>NOT(ISERROR(SEARCH("Contas",G11)))</formula>
    </cfRule>
    <cfRule type="containsText" dxfId="773" priority="29" operator="containsText" text="Outros">
      <formula>NOT(ISERROR(SEARCH("Outros",G11)))</formula>
    </cfRule>
    <cfRule type="containsText" dxfId="772" priority="22" operator="containsText" text="Lazer">
      <formula>NOT(ISERROR(SEARCH("Lazer",G11)))</formula>
    </cfRule>
    <cfRule type="containsText" dxfId="771" priority="14" operator="containsText" text="Mercado">
      <formula>NOT(ISERROR(SEARCH("Mercado",G11)))</formula>
    </cfRule>
    <cfRule type="containsText" dxfId="770" priority="15" operator="containsText" text="Despesas eventuais">
      <formula>NOT(ISERROR(SEARCH("Despesas eventuais",G11)))</formula>
    </cfRule>
    <cfRule type="containsText" dxfId="769" priority="16" operator="containsText" text="Necessidades">
      <formula>NOT(ISERROR(SEARCH("Necessidades",G11)))</formula>
    </cfRule>
    <cfRule type="containsText" dxfId="768" priority="17" operator="containsText" text="Roupa">
      <formula>NOT(ISERROR(SEARCH("Roupa",G11)))</formula>
    </cfRule>
    <cfRule type="containsText" dxfId="767" priority="18" operator="containsText" text="Saúde">
      <formula>NOT(ISERROR(SEARCH("Saúde",G11)))</formula>
    </cfRule>
    <cfRule type="containsText" dxfId="766" priority="19" operator="containsText" text="Presentes">
      <formula>NOT(ISERROR(SEARCH("Presentes",G11)))</formula>
    </cfRule>
    <cfRule type="containsText" dxfId="765" priority="20" operator="containsText" text="Beleza">
      <formula>NOT(ISERROR(SEARCH("Beleza",G11)))</formula>
    </cfRule>
    <cfRule type="containsText" dxfId="764" priority="21" operator="containsText" text="Desenvolvimento">
      <formula>NOT(ISERROR(SEARCH("Desenvolvimento",G11)))</formula>
    </cfRule>
    <cfRule type="containsText" dxfId="763" priority="23" operator="containsText" text="Eletrônicos">
      <formula>NOT(ISERROR(SEARCH("Eletrônicos",G11)))</formula>
    </cfRule>
    <cfRule type="containsText" dxfId="762" priority="24" operator="containsText" text="Assinaturas">
      <formula>NOT(ISERROR(SEARCH("Assinaturas",G11)))</formula>
    </cfRule>
    <cfRule type="containsText" dxfId="761" priority="25" operator="containsText" text="Uber transporte">
      <formula>NOT(ISERROR(SEARCH("Uber transporte",G11)))</formula>
    </cfRule>
    <cfRule type="containsText" dxfId="760" priority="26" operator="containsText" text="iFood/restaurante">
      <formula>NOT(ISERROR(SEARCH("iFood/restaurante",G11)))</formula>
    </cfRule>
    <cfRule type="containsText" dxfId="759" priority="27" operator="containsText" text="Comida faculdade">
      <formula>NOT(ISERROR(SEARCH("Comida faculdade",G11)))</formula>
    </cfRule>
  </conditionalFormatting>
  <conditionalFormatting sqref="G24:G35">
    <cfRule type="containsText" dxfId="758" priority="44" operator="containsText" text="Contas">
      <formula>NOT(ISERROR(SEARCH("Contas",G24)))</formula>
    </cfRule>
    <cfRule type="containsText" dxfId="757" priority="45" operator="containsText" text="Outros">
      <formula>NOT(ISERROR(SEARCH("Outros",G24)))</formula>
    </cfRule>
    <cfRule type="containsText" dxfId="756" priority="30" operator="containsText" text="Mercado">
      <formula>NOT(ISERROR(SEARCH("Mercado",G24)))</formula>
    </cfRule>
    <cfRule type="containsText" dxfId="755" priority="31" operator="containsText" text="Despesas eventuais">
      <formula>NOT(ISERROR(SEARCH("Despesas eventuais",G24)))</formula>
    </cfRule>
    <cfRule type="containsText" dxfId="754" priority="32" operator="containsText" text="Necessidades">
      <formula>NOT(ISERROR(SEARCH("Necessidades",G24)))</formula>
    </cfRule>
    <cfRule type="containsText" dxfId="753" priority="33" operator="containsText" text="Roupa">
      <formula>NOT(ISERROR(SEARCH("Roupa",G24)))</formula>
    </cfRule>
    <cfRule type="containsText" dxfId="752" priority="34" operator="containsText" text="Saúde">
      <formula>NOT(ISERROR(SEARCH("Saúde",G24)))</formula>
    </cfRule>
    <cfRule type="containsText" dxfId="751" priority="35" operator="containsText" text="Presentes">
      <formula>NOT(ISERROR(SEARCH("Presentes",G24)))</formula>
    </cfRule>
    <cfRule type="containsText" dxfId="750" priority="36" operator="containsText" text="Beleza">
      <formula>NOT(ISERROR(SEARCH("Beleza",G24)))</formula>
    </cfRule>
    <cfRule type="containsText" dxfId="749" priority="37" operator="containsText" text="Desenvolvimento">
      <formula>NOT(ISERROR(SEARCH("Desenvolvimento",G24)))</formula>
    </cfRule>
    <cfRule type="containsText" dxfId="748" priority="38" operator="containsText" text="Lazer">
      <formula>NOT(ISERROR(SEARCH("Lazer",G24)))</formula>
    </cfRule>
    <cfRule type="containsText" dxfId="747" priority="39" operator="containsText" text="Eletrônicos">
      <formula>NOT(ISERROR(SEARCH("Eletrônicos",G24)))</formula>
    </cfRule>
    <cfRule type="containsText" dxfId="746" priority="40" operator="containsText" text="Assinaturas">
      <formula>NOT(ISERROR(SEARCH("Assinaturas",G24)))</formula>
    </cfRule>
    <cfRule type="containsText" dxfId="745" priority="41" operator="containsText" text="Uber transporte">
      <formula>NOT(ISERROR(SEARCH("Uber transporte",G24)))</formula>
    </cfRule>
    <cfRule type="containsText" dxfId="744" priority="42" operator="containsText" text="iFood/restaurante">
      <formula>NOT(ISERROR(SEARCH("iFood/restaurante",G24)))</formula>
    </cfRule>
    <cfRule type="containsText" dxfId="743" priority="43" operator="containsText" text="Comida faculdade">
      <formula>NOT(ISERROR(SEARCH("Comida faculdade",G24)))</formula>
    </cfRule>
  </conditionalFormatting>
  <conditionalFormatting sqref="M8:M35">
    <cfRule type="containsText" dxfId="742" priority="10" operator="containsText" text="Débito">
      <formula>NOT(ISERROR(SEARCH("Débito",M8)))</formula>
    </cfRule>
    <cfRule type="containsText" dxfId="741" priority="11" operator="containsText" text="Nubank">
      <formula>NOT(ISERROR(SEARCH("Nubank",M8)))</formula>
    </cfRule>
    <cfRule type="containsText" dxfId="740" priority="12" operator="containsText" text="Inter">
      <formula>NOT(ISERROR(SEARCH("Inter",M8)))</formula>
    </cfRule>
    <cfRule type="containsText" dxfId="739" priority="13" operator="containsText" text="Itaú">
      <formula>NOT(ISERROR(SEARCH("Itaú",M8)))</formula>
    </cfRule>
  </conditionalFormatting>
  <conditionalFormatting sqref="N8:O35">
    <cfRule type="containsText" dxfId="738" priority="46" operator="containsText" text="Mercado">
      <formula>NOT(ISERROR(SEARCH("Mercado",N8)))</formula>
    </cfRule>
    <cfRule type="containsText" dxfId="737" priority="47" operator="containsText" text="Despesas eventuais">
      <formula>NOT(ISERROR(SEARCH("Despesas eventuais",N8)))</formula>
    </cfRule>
    <cfRule type="containsText" dxfId="736" priority="48" operator="containsText" text="Necessidades">
      <formula>NOT(ISERROR(SEARCH("Necessidades",N8)))</formula>
    </cfRule>
    <cfRule type="containsText" dxfId="735" priority="49" operator="containsText" text="Roupa">
      <formula>NOT(ISERROR(SEARCH("Roupa",N8)))</formula>
    </cfRule>
    <cfRule type="containsText" dxfId="734" priority="50" operator="containsText" text="Saúde">
      <formula>NOT(ISERROR(SEARCH("Saúde",N8)))</formula>
    </cfRule>
    <cfRule type="containsText" dxfId="733" priority="51" operator="containsText" text="Presentes">
      <formula>NOT(ISERROR(SEARCH("Presentes",N8)))</formula>
    </cfRule>
    <cfRule type="containsText" dxfId="732" priority="52" operator="containsText" text="Beleza">
      <formula>NOT(ISERROR(SEARCH("Beleza",N8)))</formula>
    </cfRule>
    <cfRule type="containsText" dxfId="731" priority="53" operator="containsText" text="Desenvolvimento">
      <formula>NOT(ISERROR(SEARCH("Desenvolvimento",N8)))</formula>
    </cfRule>
    <cfRule type="containsText" dxfId="730" priority="54" operator="containsText" text="Lazer">
      <formula>NOT(ISERROR(SEARCH("Lazer",N8)))</formula>
    </cfRule>
    <cfRule type="containsText" dxfId="729" priority="55" operator="containsText" text="Eletrônicos">
      <formula>NOT(ISERROR(SEARCH("Eletrônicos",N8)))</formula>
    </cfRule>
    <cfRule type="containsText" dxfId="728" priority="56" operator="containsText" text="Assinaturas">
      <formula>NOT(ISERROR(SEARCH("Assinaturas",N8)))</formula>
    </cfRule>
    <cfRule type="containsText" dxfId="727" priority="57" operator="containsText" text="Uber transporte">
      <formula>NOT(ISERROR(SEARCH("Uber transporte",N8)))</formula>
    </cfRule>
    <cfRule type="containsText" dxfId="726" priority="58" operator="containsText" text="iFood/restaurante">
      <formula>NOT(ISERROR(SEARCH("iFood/restaurante",N8)))</formula>
    </cfRule>
    <cfRule type="containsText" dxfId="725" priority="59" operator="containsText" text="Comida faculdade">
      <formula>NOT(ISERROR(SEARCH("Comida faculdade",N8)))</formula>
    </cfRule>
    <cfRule type="containsText" dxfId="724" priority="60" operator="containsText" text="Contas">
      <formula>NOT(ISERROR(SEARCH("Contas",N8)))</formula>
    </cfRule>
    <cfRule type="containsText" dxfId="723" priority="61" operator="containsText" text="Outros">
      <formula>NOT(ISERROR(SEARCH("Outros",N8)))</formula>
    </cfRule>
  </conditionalFormatting>
  <conditionalFormatting sqref="S3">
    <cfRule type="cellIs" dxfId="722" priority="85" operator="greaterThanOrEqual">
      <formula>0</formula>
    </cfRule>
    <cfRule type="cellIs" dxfId="721" priority="86" operator="lessThan">
      <formula>0</formula>
    </cfRule>
  </conditionalFormatting>
  <conditionalFormatting sqref="U5:U20">
    <cfRule type="containsText" dxfId="720" priority="66" operator="containsText" text="Necessidades">
      <formula>NOT(ISERROR(SEARCH("Necessidades",U5)))</formula>
    </cfRule>
    <cfRule type="containsText" dxfId="719" priority="67" operator="containsText" text="Roupa">
      <formula>NOT(ISERROR(SEARCH("Roupa",U5)))</formula>
    </cfRule>
    <cfRule type="containsText" dxfId="718" priority="68" operator="containsText" text="Saúde">
      <formula>NOT(ISERROR(SEARCH("Saúde",U5)))</formula>
    </cfRule>
    <cfRule type="containsText" dxfId="717" priority="69" operator="containsText" text="Presentes">
      <formula>NOT(ISERROR(SEARCH("Presentes",U5)))</formula>
    </cfRule>
    <cfRule type="containsText" dxfId="716" priority="70" operator="containsText" text="Beleza">
      <formula>NOT(ISERROR(SEARCH("Beleza",U5)))</formula>
    </cfRule>
    <cfRule type="containsText" dxfId="715" priority="71" operator="containsText" text="Desenvolvimento">
      <formula>NOT(ISERROR(SEARCH("Desenvolvimento",U5)))</formula>
    </cfRule>
    <cfRule type="containsText" dxfId="714" priority="72" operator="containsText" text="Lazer">
      <formula>NOT(ISERROR(SEARCH("Lazer",U5)))</formula>
    </cfRule>
    <cfRule type="containsText" dxfId="713" priority="73" operator="containsText" text="Eletrônicos">
      <formula>NOT(ISERROR(SEARCH("Eletrônicos",U5)))</formula>
    </cfRule>
    <cfRule type="containsText" dxfId="712" priority="74" operator="containsText" text="Assinaturas">
      <formula>NOT(ISERROR(SEARCH("Assinaturas",U5)))</formula>
    </cfRule>
    <cfRule type="containsText" dxfId="711" priority="75" operator="containsText" text="Uber transporte">
      <formula>NOT(ISERROR(SEARCH("Uber transporte",U5)))</formula>
    </cfRule>
    <cfRule type="containsText" dxfId="710" priority="76" operator="containsText" text="iFood/restaurante">
      <formula>NOT(ISERROR(SEARCH("iFood/restaurante",U5)))</formula>
    </cfRule>
    <cfRule type="containsText" dxfId="709" priority="77" operator="containsText" text="Comida faculdade">
      <formula>NOT(ISERROR(SEARCH("Comida faculdade",U5)))</formula>
    </cfRule>
    <cfRule type="containsText" dxfId="708" priority="78" operator="containsText" text="Contas">
      <formula>NOT(ISERROR(SEARCH("Contas",U5)))</formula>
    </cfRule>
    <cfRule type="containsText" dxfId="707" priority="79" operator="containsText" text="Outros">
      <formula>NOT(ISERROR(SEARCH("Outros",U5)))</formula>
    </cfRule>
    <cfRule type="containsText" dxfId="706" priority="64" operator="containsText" text="Mercado">
      <formula>NOT(ISERROR(SEARCH("Mercado",U5)))</formula>
    </cfRule>
    <cfRule type="containsText" dxfId="705" priority="65" operator="containsText" text="Despesas eventuais">
      <formula>NOT(ISERROR(SEARCH("Despesas eventuais",U5)))</formula>
    </cfRule>
  </conditionalFormatting>
  <conditionalFormatting sqref="U24:U27">
    <cfRule type="containsText" dxfId="704" priority="82" operator="containsText" text="Inter">
      <formula>NOT(ISERROR(SEARCH("Inter",U24)))</formula>
    </cfRule>
    <cfRule type="containsText" dxfId="703" priority="83" operator="containsText" text="Itaú">
      <formula>NOT(ISERROR(SEARCH("Itaú",U24)))</formula>
    </cfRule>
    <cfRule type="containsText" dxfId="702" priority="80" operator="containsText" text="Débito">
      <formula>NOT(ISERROR(SEARCH("Débito",U24)))</formula>
    </cfRule>
    <cfRule type="containsText" dxfId="701" priority="81" operator="containsText" text="Nubank">
      <formula>NOT(ISERROR(SEARCH("Nubank",U24)))</formula>
    </cfRule>
  </conditionalFormatting>
  <conditionalFormatting sqref="W5:W20">
    <cfRule type="expression" dxfId="700" priority="87">
      <formula>AND($V5&gt;0,W5&gt;$V5)</formula>
    </cfRule>
  </conditionalFormatting>
  <conditionalFormatting sqref="X5:X20">
    <cfRule type="expression" dxfId="699" priority="88">
      <formula>AND($V5&gt;0,W5&gt;$V5)</formula>
    </cfRule>
  </conditionalFormatting>
  <conditionalFormatting sqref="X24:X27">
    <cfRule type="containsText" dxfId="698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3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3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3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54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697" priority="63" operator="containsText" text="☐">
      <formula>NOT(ISERROR(SEARCH("☐",D11)))</formula>
    </cfRule>
    <cfRule type="containsText" dxfId="696" priority="62" operator="containsText" text="☑">
      <formula>NOT(ISERROR(SEARCH("☑",D11)))</formula>
    </cfRule>
  </conditionalFormatting>
  <conditionalFormatting sqref="F11:F18">
    <cfRule type="containsText" dxfId="695" priority="2" operator="containsText" text="Débito">
      <formula>NOT(ISERROR(SEARCH("Débito",F11)))</formula>
    </cfRule>
    <cfRule type="containsText" dxfId="694" priority="3" operator="containsText" text="Nubank">
      <formula>NOT(ISERROR(SEARCH("Nubank",F11)))</formula>
    </cfRule>
    <cfRule type="containsText" dxfId="693" priority="4" operator="containsText" text="Inter">
      <formula>NOT(ISERROR(SEARCH("Inter",F11)))</formula>
    </cfRule>
    <cfRule type="containsText" dxfId="692" priority="5" operator="containsText" text="Itaú">
      <formula>NOT(ISERROR(SEARCH("Itaú",F11)))</formula>
    </cfRule>
  </conditionalFormatting>
  <conditionalFormatting sqref="F24:F35">
    <cfRule type="containsText" dxfId="691" priority="6" operator="containsText" text="Débito">
      <formula>NOT(ISERROR(SEARCH("Débito",F24)))</formula>
    </cfRule>
    <cfRule type="containsText" dxfId="690" priority="7" operator="containsText" text="Nubank">
      <formula>NOT(ISERROR(SEARCH("Nubank",F24)))</formula>
    </cfRule>
    <cfRule type="containsText" dxfId="689" priority="8" operator="containsText" text="Inter">
      <formula>NOT(ISERROR(SEARCH("Inter",F24)))</formula>
    </cfRule>
    <cfRule type="containsText" dxfId="688" priority="9" operator="containsText" text="Itaú">
      <formula>NOT(ISERROR(SEARCH("Itaú",F24)))</formula>
    </cfRule>
  </conditionalFormatting>
  <conditionalFormatting sqref="G11:G18">
    <cfRule type="containsText" dxfId="687" priority="28" operator="containsText" text="Contas">
      <formula>NOT(ISERROR(SEARCH("Contas",G11)))</formula>
    </cfRule>
    <cfRule type="containsText" dxfId="686" priority="29" operator="containsText" text="Outros">
      <formula>NOT(ISERROR(SEARCH("Outros",G11)))</formula>
    </cfRule>
    <cfRule type="containsText" dxfId="685" priority="22" operator="containsText" text="Lazer">
      <formula>NOT(ISERROR(SEARCH("Lazer",G11)))</formula>
    </cfRule>
    <cfRule type="containsText" dxfId="684" priority="14" operator="containsText" text="Mercado">
      <formula>NOT(ISERROR(SEARCH("Mercado",G11)))</formula>
    </cfRule>
    <cfRule type="containsText" dxfId="683" priority="15" operator="containsText" text="Despesas eventuais">
      <formula>NOT(ISERROR(SEARCH("Despesas eventuais",G11)))</formula>
    </cfRule>
    <cfRule type="containsText" dxfId="682" priority="16" operator="containsText" text="Necessidades">
      <formula>NOT(ISERROR(SEARCH("Necessidades",G11)))</formula>
    </cfRule>
    <cfRule type="containsText" dxfId="681" priority="17" operator="containsText" text="Roupa">
      <formula>NOT(ISERROR(SEARCH("Roupa",G11)))</formula>
    </cfRule>
    <cfRule type="containsText" dxfId="680" priority="18" operator="containsText" text="Saúde">
      <formula>NOT(ISERROR(SEARCH("Saúde",G11)))</formula>
    </cfRule>
    <cfRule type="containsText" dxfId="679" priority="19" operator="containsText" text="Presentes">
      <formula>NOT(ISERROR(SEARCH("Presentes",G11)))</formula>
    </cfRule>
    <cfRule type="containsText" dxfId="678" priority="20" operator="containsText" text="Beleza">
      <formula>NOT(ISERROR(SEARCH("Beleza",G11)))</formula>
    </cfRule>
    <cfRule type="containsText" dxfId="677" priority="21" operator="containsText" text="Desenvolvimento">
      <formula>NOT(ISERROR(SEARCH("Desenvolvimento",G11)))</formula>
    </cfRule>
    <cfRule type="containsText" dxfId="676" priority="23" operator="containsText" text="Eletrônicos">
      <formula>NOT(ISERROR(SEARCH("Eletrônicos",G11)))</formula>
    </cfRule>
    <cfRule type="containsText" dxfId="675" priority="24" operator="containsText" text="Assinaturas">
      <formula>NOT(ISERROR(SEARCH("Assinaturas",G11)))</formula>
    </cfRule>
    <cfRule type="containsText" dxfId="674" priority="25" operator="containsText" text="Uber transporte">
      <formula>NOT(ISERROR(SEARCH("Uber transporte",G11)))</formula>
    </cfRule>
    <cfRule type="containsText" dxfId="673" priority="26" operator="containsText" text="iFood/restaurante">
      <formula>NOT(ISERROR(SEARCH("iFood/restaurante",G11)))</formula>
    </cfRule>
    <cfRule type="containsText" dxfId="672" priority="27" operator="containsText" text="Comida faculdade">
      <formula>NOT(ISERROR(SEARCH("Comida faculdade",G11)))</formula>
    </cfRule>
  </conditionalFormatting>
  <conditionalFormatting sqref="G24:G35">
    <cfRule type="containsText" dxfId="671" priority="44" operator="containsText" text="Contas">
      <formula>NOT(ISERROR(SEARCH("Contas",G24)))</formula>
    </cfRule>
    <cfRule type="containsText" dxfId="670" priority="45" operator="containsText" text="Outros">
      <formula>NOT(ISERROR(SEARCH("Outros",G24)))</formula>
    </cfRule>
    <cfRule type="containsText" dxfId="669" priority="30" operator="containsText" text="Mercado">
      <formula>NOT(ISERROR(SEARCH("Mercado",G24)))</formula>
    </cfRule>
    <cfRule type="containsText" dxfId="668" priority="31" operator="containsText" text="Despesas eventuais">
      <formula>NOT(ISERROR(SEARCH("Despesas eventuais",G24)))</formula>
    </cfRule>
    <cfRule type="containsText" dxfId="667" priority="32" operator="containsText" text="Necessidades">
      <formula>NOT(ISERROR(SEARCH("Necessidades",G24)))</formula>
    </cfRule>
    <cfRule type="containsText" dxfId="666" priority="33" operator="containsText" text="Roupa">
      <formula>NOT(ISERROR(SEARCH("Roupa",G24)))</formula>
    </cfRule>
    <cfRule type="containsText" dxfId="665" priority="34" operator="containsText" text="Saúde">
      <formula>NOT(ISERROR(SEARCH("Saúde",G24)))</formula>
    </cfRule>
    <cfRule type="containsText" dxfId="664" priority="35" operator="containsText" text="Presentes">
      <formula>NOT(ISERROR(SEARCH("Presentes",G24)))</formula>
    </cfRule>
    <cfRule type="containsText" dxfId="663" priority="36" operator="containsText" text="Beleza">
      <formula>NOT(ISERROR(SEARCH("Beleza",G24)))</formula>
    </cfRule>
    <cfRule type="containsText" dxfId="662" priority="37" operator="containsText" text="Desenvolvimento">
      <formula>NOT(ISERROR(SEARCH("Desenvolvimento",G24)))</formula>
    </cfRule>
    <cfRule type="containsText" dxfId="661" priority="38" operator="containsText" text="Lazer">
      <formula>NOT(ISERROR(SEARCH("Lazer",G24)))</formula>
    </cfRule>
    <cfRule type="containsText" dxfId="660" priority="39" operator="containsText" text="Eletrônicos">
      <formula>NOT(ISERROR(SEARCH("Eletrônicos",G24)))</formula>
    </cfRule>
    <cfRule type="containsText" dxfId="659" priority="40" operator="containsText" text="Assinaturas">
      <formula>NOT(ISERROR(SEARCH("Assinaturas",G24)))</formula>
    </cfRule>
    <cfRule type="containsText" dxfId="658" priority="41" operator="containsText" text="Uber transporte">
      <formula>NOT(ISERROR(SEARCH("Uber transporte",G24)))</formula>
    </cfRule>
    <cfRule type="containsText" dxfId="657" priority="42" operator="containsText" text="iFood/restaurante">
      <formula>NOT(ISERROR(SEARCH("iFood/restaurante",G24)))</formula>
    </cfRule>
    <cfRule type="containsText" dxfId="656" priority="43" operator="containsText" text="Comida faculdade">
      <formula>NOT(ISERROR(SEARCH("Comida faculdade",G24)))</formula>
    </cfRule>
  </conditionalFormatting>
  <conditionalFormatting sqref="M8:M35">
    <cfRule type="containsText" dxfId="655" priority="10" operator="containsText" text="Débito">
      <formula>NOT(ISERROR(SEARCH("Débito",M8)))</formula>
    </cfRule>
    <cfRule type="containsText" dxfId="654" priority="11" operator="containsText" text="Nubank">
      <formula>NOT(ISERROR(SEARCH("Nubank",M8)))</formula>
    </cfRule>
    <cfRule type="containsText" dxfId="653" priority="12" operator="containsText" text="Inter">
      <formula>NOT(ISERROR(SEARCH("Inter",M8)))</formula>
    </cfRule>
    <cfRule type="containsText" dxfId="652" priority="13" operator="containsText" text="Itaú">
      <formula>NOT(ISERROR(SEARCH("Itaú",M8)))</formula>
    </cfRule>
  </conditionalFormatting>
  <conditionalFormatting sqref="N8:O35">
    <cfRule type="containsText" dxfId="651" priority="46" operator="containsText" text="Mercado">
      <formula>NOT(ISERROR(SEARCH("Mercado",N8)))</formula>
    </cfRule>
    <cfRule type="containsText" dxfId="650" priority="47" operator="containsText" text="Despesas eventuais">
      <formula>NOT(ISERROR(SEARCH("Despesas eventuais",N8)))</formula>
    </cfRule>
    <cfRule type="containsText" dxfId="649" priority="48" operator="containsText" text="Necessidades">
      <formula>NOT(ISERROR(SEARCH("Necessidades",N8)))</formula>
    </cfRule>
    <cfRule type="containsText" dxfId="648" priority="49" operator="containsText" text="Roupa">
      <formula>NOT(ISERROR(SEARCH("Roupa",N8)))</formula>
    </cfRule>
    <cfRule type="containsText" dxfId="647" priority="50" operator="containsText" text="Saúde">
      <formula>NOT(ISERROR(SEARCH("Saúde",N8)))</formula>
    </cfRule>
    <cfRule type="containsText" dxfId="646" priority="51" operator="containsText" text="Presentes">
      <formula>NOT(ISERROR(SEARCH("Presentes",N8)))</formula>
    </cfRule>
    <cfRule type="containsText" dxfId="645" priority="52" operator="containsText" text="Beleza">
      <formula>NOT(ISERROR(SEARCH("Beleza",N8)))</formula>
    </cfRule>
    <cfRule type="containsText" dxfId="644" priority="53" operator="containsText" text="Desenvolvimento">
      <formula>NOT(ISERROR(SEARCH("Desenvolvimento",N8)))</formula>
    </cfRule>
    <cfRule type="containsText" dxfId="643" priority="54" operator="containsText" text="Lazer">
      <formula>NOT(ISERROR(SEARCH("Lazer",N8)))</formula>
    </cfRule>
    <cfRule type="containsText" dxfId="642" priority="55" operator="containsText" text="Eletrônicos">
      <formula>NOT(ISERROR(SEARCH("Eletrônicos",N8)))</formula>
    </cfRule>
    <cfRule type="containsText" dxfId="641" priority="56" operator="containsText" text="Assinaturas">
      <formula>NOT(ISERROR(SEARCH("Assinaturas",N8)))</formula>
    </cfRule>
    <cfRule type="containsText" dxfId="640" priority="57" operator="containsText" text="Uber transporte">
      <formula>NOT(ISERROR(SEARCH("Uber transporte",N8)))</formula>
    </cfRule>
    <cfRule type="containsText" dxfId="639" priority="58" operator="containsText" text="iFood/restaurante">
      <formula>NOT(ISERROR(SEARCH("iFood/restaurante",N8)))</formula>
    </cfRule>
    <cfRule type="containsText" dxfId="638" priority="59" operator="containsText" text="Comida faculdade">
      <formula>NOT(ISERROR(SEARCH("Comida faculdade",N8)))</formula>
    </cfRule>
    <cfRule type="containsText" dxfId="637" priority="60" operator="containsText" text="Contas">
      <formula>NOT(ISERROR(SEARCH("Contas",N8)))</formula>
    </cfRule>
    <cfRule type="containsText" dxfId="636" priority="61" operator="containsText" text="Outros">
      <formula>NOT(ISERROR(SEARCH("Outros",N8)))</formula>
    </cfRule>
  </conditionalFormatting>
  <conditionalFormatting sqref="S3">
    <cfRule type="cellIs" dxfId="635" priority="85" operator="greaterThanOrEqual">
      <formula>0</formula>
    </cfRule>
    <cfRule type="cellIs" dxfId="634" priority="86" operator="lessThan">
      <formula>0</formula>
    </cfRule>
  </conditionalFormatting>
  <conditionalFormatting sqref="U5:U20">
    <cfRule type="containsText" dxfId="633" priority="66" operator="containsText" text="Necessidades">
      <formula>NOT(ISERROR(SEARCH("Necessidades",U5)))</formula>
    </cfRule>
    <cfRule type="containsText" dxfId="632" priority="67" operator="containsText" text="Roupa">
      <formula>NOT(ISERROR(SEARCH("Roupa",U5)))</formula>
    </cfRule>
    <cfRule type="containsText" dxfId="631" priority="68" operator="containsText" text="Saúde">
      <formula>NOT(ISERROR(SEARCH("Saúde",U5)))</formula>
    </cfRule>
    <cfRule type="containsText" dxfId="630" priority="69" operator="containsText" text="Presentes">
      <formula>NOT(ISERROR(SEARCH("Presentes",U5)))</formula>
    </cfRule>
    <cfRule type="containsText" dxfId="629" priority="70" operator="containsText" text="Beleza">
      <formula>NOT(ISERROR(SEARCH("Beleza",U5)))</formula>
    </cfRule>
    <cfRule type="containsText" dxfId="628" priority="71" operator="containsText" text="Desenvolvimento">
      <formula>NOT(ISERROR(SEARCH("Desenvolvimento",U5)))</formula>
    </cfRule>
    <cfRule type="containsText" dxfId="627" priority="72" operator="containsText" text="Lazer">
      <formula>NOT(ISERROR(SEARCH("Lazer",U5)))</formula>
    </cfRule>
    <cfRule type="containsText" dxfId="626" priority="73" operator="containsText" text="Eletrônicos">
      <formula>NOT(ISERROR(SEARCH("Eletrônicos",U5)))</formula>
    </cfRule>
    <cfRule type="containsText" dxfId="625" priority="74" operator="containsText" text="Assinaturas">
      <formula>NOT(ISERROR(SEARCH("Assinaturas",U5)))</formula>
    </cfRule>
    <cfRule type="containsText" dxfId="624" priority="75" operator="containsText" text="Uber transporte">
      <formula>NOT(ISERROR(SEARCH("Uber transporte",U5)))</formula>
    </cfRule>
    <cfRule type="containsText" dxfId="623" priority="76" operator="containsText" text="iFood/restaurante">
      <formula>NOT(ISERROR(SEARCH("iFood/restaurante",U5)))</formula>
    </cfRule>
    <cfRule type="containsText" dxfId="622" priority="77" operator="containsText" text="Comida faculdade">
      <formula>NOT(ISERROR(SEARCH("Comida faculdade",U5)))</formula>
    </cfRule>
    <cfRule type="containsText" dxfId="621" priority="78" operator="containsText" text="Contas">
      <formula>NOT(ISERROR(SEARCH("Contas",U5)))</formula>
    </cfRule>
    <cfRule type="containsText" dxfId="620" priority="79" operator="containsText" text="Outros">
      <formula>NOT(ISERROR(SEARCH("Outros",U5)))</formula>
    </cfRule>
    <cfRule type="containsText" dxfId="619" priority="64" operator="containsText" text="Mercado">
      <formula>NOT(ISERROR(SEARCH("Mercado",U5)))</formula>
    </cfRule>
    <cfRule type="containsText" dxfId="618" priority="65" operator="containsText" text="Despesas eventuais">
      <formula>NOT(ISERROR(SEARCH("Despesas eventuais",U5)))</formula>
    </cfRule>
  </conditionalFormatting>
  <conditionalFormatting sqref="U24:U27">
    <cfRule type="containsText" dxfId="617" priority="82" operator="containsText" text="Inter">
      <formula>NOT(ISERROR(SEARCH("Inter",U24)))</formula>
    </cfRule>
    <cfRule type="containsText" dxfId="616" priority="83" operator="containsText" text="Itaú">
      <formula>NOT(ISERROR(SEARCH("Itaú",U24)))</formula>
    </cfRule>
    <cfRule type="containsText" dxfId="615" priority="80" operator="containsText" text="Débito">
      <formula>NOT(ISERROR(SEARCH("Débito",U24)))</formula>
    </cfRule>
    <cfRule type="containsText" dxfId="614" priority="81" operator="containsText" text="Nubank">
      <formula>NOT(ISERROR(SEARCH("Nubank",U24)))</formula>
    </cfRule>
  </conditionalFormatting>
  <conditionalFormatting sqref="W5:W20">
    <cfRule type="expression" dxfId="613" priority="87">
      <formula>AND($V5&gt;0,W5&gt;$V5)</formula>
    </cfRule>
  </conditionalFormatting>
  <conditionalFormatting sqref="X5:X20">
    <cfRule type="expression" dxfId="612" priority="88">
      <formula>AND($V5&gt;0,W5&gt;$V5)</formula>
    </cfRule>
  </conditionalFormatting>
  <conditionalFormatting sqref="X24:X27">
    <cfRule type="containsText" dxfId="611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4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4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4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55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610" priority="63" operator="containsText" text="☐">
      <formula>NOT(ISERROR(SEARCH("☐",D11)))</formula>
    </cfRule>
    <cfRule type="containsText" dxfId="609" priority="62" operator="containsText" text="☑">
      <formula>NOT(ISERROR(SEARCH("☑",D11)))</formula>
    </cfRule>
  </conditionalFormatting>
  <conditionalFormatting sqref="F11:F18">
    <cfRule type="containsText" dxfId="608" priority="2" operator="containsText" text="Débito">
      <formula>NOT(ISERROR(SEARCH("Débito",F11)))</formula>
    </cfRule>
    <cfRule type="containsText" dxfId="607" priority="3" operator="containsText" text="Nubank">
      <formula>NOT(ISERROR(SEARCH("Nubank",F11)))</formula>
    </cfRule>
    <cfRule type="containsText" dxfId="606" priority="4" operator="containsText" text="Inter">
      <formula>NOT(ISERROR(SEARCH("Inter",F11)))</formula>
    </cfRule>
    <cfRule type="containsText" dxfId="605" priority="5" operator="containsText" text="Itaú">
      <formula>NOT(ISERROR(SEARCH("Itaú",F11)))</formula>
    </cfRule>
  </conditionalFormatting>
  <conditionalFormatting sqref="F24:F35">
    <cfRule type="containsText" dxfId="604" priority="6" operator="containsText" text="Débito">
      <formula>NOT(ISERROR(SEARCH("Débito",F24)))</formula>
    </cfRule>
    <cfRule type="containsText" dxfId="603" priority="7" operator="containsText" text="Nubank">
      <formula>NOT(ISERROR(SEARCH("Nubank",F24)))</formula>
    </cfRule>
    <cfRule type="containsText" dxfId="602" priority="8" operator="containsText" text="Inter">
      <formula>NOT(ISERROR(SEARCH("Inter",F24)))</formula>
    </cfRule>
    <cfRule type="containsText" dxfId="601" priority="9" operator="containsText" text="Itaú">
      <formula>NOT(ISERROR(SEARCH("Itaú",F24)))</formula>
    </cfRule>
  </conditionalFormatting>
  <conditionalFormatting sqref="G11:G18">
    <cfRule type="containsText" dxfId="600" priority="28" operator="containsText" text="Contas">
      <formula>NOT(ISERROR(SEARCH("Contas",G11)))</formula>
    </cfRule>
    <cfRule type="containsText" dxfId="599" priority="29" operator="containsText" text="Outros">
      <formula>NOT(ISERROR(SEARCH("Outros",G11)))</formula>
    </cfRule>
    <cfRule type="containsText" dxfId="598" priority="22" operator="containsText" text="Lazer">
      <formula>NOT(ISERROR(SEARCH("Lazer",G11)))</formula>
    </cfRule>
    <cfRule type="containsText" dxfId="597" priority="14" operator="containsText" text="Mercado">
      <formula>NOT(ISERROR(SEARCH("Mercado",G11)))</formula>
    </cfRule>
    <cfRule type="containsText" dxfId="596" priority="15" operator="containsText" text="Despesas eventuais">
      <formula>NOT(ISERROR(SEARCH("Despesas eventuais",G11)))</formula>
    </cfRule>
    <cfRule type="containsText" dxfId="595" priority="16" operator="containsText" text="Necessidades">
      <formula>NOT(ISERROR(SEARCH("Necessidades",G11)))</formula>
    </cfRule>
    <cfRule type="containsText" dxfId="594" priority="17" operator="containsText" text="Roupa">
      <formula>NOT(ISERROR(SEARCH("Roupa",G11)))</formula>
    </cfRule>
    <cfRule type="containsText" dxfId="593" priority="18" operator="containsText" text="Saúde">
      <formula>NOT(ISERROR(SEARCH("Saúde",G11)))</formula>
    </cfRule>
    <cfRule type="containsText" dxfId="592" priority="19" operator="containsText" text="Presentes">
      <formula>NOT(ISERROR(SEARCH("Presentes",G11)))</formula>
    </cfRule>
    <cfRule type="containsText" dxfId="591" priority="20" operator="containsText" text="Beleza">
      <formula>NOT(ISERROR(SEARCH("Beleza",G11)))</formula>
    </cfRule>
    <cfRule type="containsText" dxfId="590" priority="21" operator="containsText" text="Desenvolvimento">
      <formula>NOT(ISERROR(SEARCH("Desenvolvimento",G11)))</formula>
    </cfRule>
    <cfRule type="containsText" dxfId="589" priority="23" operator="containsText" text="Eletrônicos">
      <formula>NOT(ISERROR(SEARCH("Eletrônicos",G11)))</formula>
    </cfRule>
    <cfRule type="containsText" dxfId="588" priority="24" operator="containsText" text="Assinaturas">
      <formula>NOT(ISERROR(SEARCH("Assinaturas",G11)))</formula>
    </cfRule>
    <cfRule type="containsText" dxfId="587" priority="25" operator="containsText" text="Uber transporte">
      <formula>NOT(ISERROR(SEARCH("Uber transporte",G11)))</formula>
    </cfRule>
    <cfRule type="containsText" dxfId="586" priority="26" operator="containsText" text="iFood/restaurante">
      <formula>NOT(ISERROR(SEARCH("iFood/restaurante",G11)))</formula>
    </cfRule>
    <cfRule type="containsText" dxfId="585" priority="27" operator="containsText" text="Comida faculdade">
      <formula>NOT(ISERROR(SEARCH("Comida faculdade",G11)))</formula>
    </cfRule>
  </conditionalFormatting>
  <conditionalFormatting sqref="G24:G35">
    <cfRule type="containsText" dxfId="584" priority="44" operator="containsText" text="Contas">
      <formula>NOT(ISERROR(SEARCH("Contas",G24)))</formula>
    </cfRule>
    <cfRule type="containsText" dxfId="583" priority="45" operator="containsText" text="Outros">
      <formula>NOT(ISERROR(SEARCH("Outros",G24)))</formula>
    </cfRule>
    <cfRule type="containsText" dxfId="582" priority="30" operator="containsText" text="Mercado">
      <formula>NOT(ISERROR(SEARCH("Mercado",G24)))</formula>
    </cfRule>
    <cfRule type="containsText" dxfId="581" priority="31" operator="containsText" text="Despesas eventuais">
      <formula>NOT(ISERROR(SEARCH("Despesas eventuais",G24)))</formula>
    </cfRule>
    <cfRule type="containsText" dxfId="580" priority="32" operator="containsText" text="Necessidades">
      <formula>NOT(ISERROR(SEARCH("Necessidades",G24)))</formula>
    </cfRule>
    <cfRule type="containsText" dxfId="579" priority="33" operator="containsText" text="Roupa">
      <formula>NOT(ISERROR(SEARCH("Roupa",G24)))</formula>
    </cfRule>
    <cfRule type="containsText" dxfId="578" priority="34" operator="containsText" text="Saúde">
      <formula>NOT(ISERROR(SEARCH("Saúde",G24)))</formula>
    </cfRule>
    <cfRule type="containsText" dxfId="577" priority="35" operator="containsText" text="Presentes">
      <formula>NOT(ISERROR(SEARCH("Presentes",G24)))</formula>
    </cfRule>
    <cfRule type="containsText" dxfId="576" priority="36" operator="containsText" text="Beleza">
      <formula>NOT(ISERROR(SEARCH("Beleza",G24)))</formula>
    </cfRule>
    <cfRule type="containsText" dxfId="575" priority="37" operator="containsText" text="Desenvolvimento">
      <formula>NOT(ISERROR(SEARCH("Desenvolvimento",G24)))</formula>
    </cfRule>
    <cfRule type="containsText" dxfId="574" priority="38" operator="containsText" text="Lazer">
      <formula>NOT(ISERROR(SEARCH("Lazer",G24)))</formula>
    </cfRule>
    <cfRule type="containsText" dxfId="573" priority="39" operator="containsText" text="Eletrônicos">
      <formula>NOT(ISERROR(SEARCH("Eletrônicos",G24)))</formula>
    </cfRule>
    <cfRule type="containsText" dxfId="572" priority="40" operator="containsText" text="Assinaturas">
      <formula>NOT(ISERROR(SEARCH("Assinaturas",G24)))</formula>
    </cfRule>
    <cfRule type="containsText" dxfId="571" priority="41" operator="containsText" text="Uber transporte">
      <formula>NOT(ISERROR(SEARCH("Uber transporte",G24)))</formula>
    </cfRule>
    <cfRule type="containsText" dxfId="570" priority="42" operator="containsText" text="iFood/restaurante">
      <formula>NOT(ISERROR(SEARCH("iFood/restaurante",G24)))</formula>
    </cfRule>
    <cfRule type="containsText" dxfId="569" priority="43" operator="containsText" text="Comida faculdade">
      <formula>NOT(ISERROR(SEARCH("Comida faculdade",G24)))</formula>
    </cfRule>
  </conditionalFormatting>
  <conditionalFormatting sqref="M8:M35">
    <cfRule type="containsText" dxfId="568" priority="10" operator="containsText" text="Débito">
      <formula>NOT(ISERROR(SEARCH("Débito",M8)))</formula>
    </cfRule>
    <cfRule type="containsText" dxfId="567" priority="11" operator="containsText" text="Nubank">
      <formula>NOT(ISERROR(SEARCH("Nubank",M8)))</formula>
    </cfRule>
    <cfRule type="containsText" dxfId="566" priority="12" operator="containsText" text="Inter">
      <formula>NOT(ISERROR(SEARCH("Inter",M8)))</formula>
    </cfRule>
    <cfRule type="containsText" dxfId="565" priority="13" operator="containsText" text="Itaú">
      <formula>NOT(ISERROR(SEARCH("Itaú",M8)))</formula>
    </cfRule>
  </conditionalFormatting>
  <conditionalFormatting sqref="N8:O35">
    <cfRule type="containsText" dxfId="564" priority="46" operator="containsText" text="Mercado">
      <formula>NOT(ISERROR(SEARCH("Mercado",N8)))</formula>
    </cfRule>
    <cfRule type="containsText" dxfId="563" priority="47" operator="containsText" text="Despesas eventuais">
      <formula>NOT(ISERROR(SEARCH("Despesas eventuais",N8)))</formula>
    </cfRule>
    <cfRule type="containsText" dxfId="562" priority="48" operator="containsText" text="Necessidades">
      <formula>NOT(ISERROR(SEARCH("Necessidades",N8)))</formula>
    </cfRule>
    <cfRule type="containsText" dxfId="561" priority="49" operator="containsText" text="Roupa">
      <formula>NOT(ISERROR(SEARCH("Roupa",N8)))</formula>
    </cfRule>
    <cfRule type="containsText" dxfId="560" priority="50" operator="containsText" text="Saúde">
      <formula>NOT(ISERROR(SEARCH("Saúde",N8)))</formula>
    </cfRule>
    <cfRule type="containsText" dxfId="559" priority="51" operator="containsText" text="Presentes">
      <formula>NOT(ISERROR(SEARCH("Presentes",N8)))</formula>
    </cfRule>
    <cfRule type="containsText" dxfId="558" priority="52" operator="containsText" text="Beleza">
      <formula>NOT(ISERROR(SEARCH("Beleza",N8)))</formula>
    </cfRule>
    <cfRule type="containsText" dxfId="557" priority="53" operator="containsText" text="Desenvolvimento">
      <formula>NOT(ISERROR(SEARCH("Desenvolvimento",N8)))</formula>
    </cfRule>
    <cfRule type="containsText" dxfId="556" priority="54" operator="containsText" text="Lazer">
      <formula>NOT(ISERROR(SEARCH("Lazer",N8)))</formula>
    </cfRule>
    <cfRule type="containsText" dxfId="555" priority="55" operator="containsText" text="Eletrônicos">
      <formula>NOT(ISERROR(SEARCH("Eletrônicos",N8)))</formula>
    </cfRule>
    <cfRule type="containsText" dxfId="554" priority="56" operator="containsText" text="Assinaturas">
      <formula>NOT(ISERROR(SEARCH("Assinaturas",N8)))</formula>
    </cfRule>
    <cfRule type="containsText" dxfId="553" priority="57" operator="containsText" text="Uber transporte">
      <formula>NOT(ISERROR(SEARCH("Uber transporte",N8)))</formula>
    </cfRule>
    <cfRule type="containsText" dxfId="552" priority="58" operator="containsText" text="iFood/restaurante">
      <formula>NOT(ISERROR(SEARCH("iFood/restaurante",N8)))</formula>
    </cfRule>
    <cfRule type="containsText" dxfId="551" priority="59" operator="containsText" text="Comida faculdade">
      <formula>NOT(ISERROR(SEARCH("Comida faculdade",N8)))</formula>
    </cfRule>
    <cfRule type="containsText" dxfId="550" priority="60" operator="containsText" text="Contas">
      <formula>NOT(ISERROR(SEARCH("Contas",N8)))</formula>
    </cfRule>
    <cfRule type="containsText" dxfId="549" priority="61" operator="containsText" text="Outros">
      <formula>NOT(ISERROR(SEARCH("Outros",N8)))</formula>
    </cfRule>
  </conditionalFormatting>
  <conditionalFormatting sqref="S3">
    <cfRule type="cellIs" dxfId="548" priority="85" operator="greaterThanOrEqual">
      <formula>0</formula>
    </cfRule>
    <cfRule type="cellIs" dxfId="547" priority="86" operator="lessThan">
      <formula>0</formula>
    </cfRule>
  </conditionalFormatting>
  <conditionalFormatting sqref="U5:U20">
    <cfRule type="containsText" dxfId="546" priority="66" operator="containsText" text="Necessidades">
      <formula>NOT(ISERROR(SEARCH("Necessidades",U5)))</formula>
    </cfRule>
    <cfRule type="containsText" dxfId="545" priority="67" operator="containsText" text="Roupa">
      <formula>NOT(ISERROR(SEARCH("Roupa",U5)))</formula>
    </cfRule>
    <cfRule type="containsText" dxfId="544" priority="68" operator="containsText" text="Saúde">
      <formula>NOT(ISERROR(SEARCH("Saúde",U5)))</formula>
    </cfRule>
    <cfRule type="containsText" dxfId="543" priority="69" operator="containsText" text="Presentes">
      <formula>NOT(ISERROR(SEARCH("Presentes",U5)))</formula>
    </cfRule>
    <cfRule type="containsText" dxfId="542" priority="70" operator="containsText" text="Beleza">
      <formula>NOT(ISERROR(SEARCH("Beleza",U5)))</formula>
    </cfRule>
    <cfRule type="containsText" dxfId="541" priority="71" operator="containsText" text="Desenvolvimento">
      <formula>NOT(ISERROR(SEARCH("Desenvolvimento",U5)))</formula>
    </cfRule>
    <cfRule type="containsText" dxfId="540" priority="72" operator="containsText" text="Lazer">
      <formula>NOT(ISERROR(SEARCH("Lazer",U5)))</formula>
    </cfRule>
    <cfRule type="containsText" dxfId="539" priority="73" operator="containsText" text="Eletrônicos">
      <formula>NOT(ISERROR(SEARCH("Eletrônicos",U5)))</formula>
    </cfRule>
    <cfRule type="containsText" dxfId="538" priority="74" operator="containsText" text="Assinaturas">
      <formula>NOT(ISERROR(SEARCH("Assinaturas",U5)))</formula>
    </cfRule>
    <cfRule type="containsText" dxfId="537" priority="75" operator="containsText" text="Uber transporte">
      <formula>NOT(ISERROR(SEARCH("Uber transporte",U5)))</formula>
    </cfRule>
    <cfRule type="containsText" dxfId="536" priority="76" operator="containsText" text="iFood/restaurante">
      <formula>NOT(ISERROR(SEARCH("iFood/restaurante",U5)))</formula>
    </cfRule>
    <cfRule type="containsText" dxfId="535" priority="77" operator="containsText" text="Comida faculdade">
      <formula>NOT(ISERROR(SEARCH("Comida faculdade",U5)))</formula>
    </cfRule>
    <cfRule type="containsText" dxfId="534" priority="78" operator="containsText" text="Contas">
      <formula>NOT(ISERROR(SEARCH("Contas",U5)))</formula>
    </cfRule>
    <cfRule type="containsText" dxfId="533" priority="79" operator="containsText" text="Outros">
      <formula>NOT(ISERROR(SEARCH("Outros",U5)))</formula>
    </cfRule>
    <cfRule type="containsText" dxfId="532" priority="64" operator="containsText" text="Mercado">
      <formula>NOT(ISERROR(SEARCH("Mercado",U5)))</formula>
    </cfRule>
    <cfRule type="containsText" dxfId="531" priority="65" operator="containsText" text="Despesas eventuais">
      <formula>NOT(ISERROR(SEARCH("Despesas eventuais",U5)))</formula>
    </cfRule>
  </conditionalFormatting>
  <conditionalFormatting sqref="U24:U27">
    <cfRule type="containsText" dxfId="530" priority="82" operator="containsText" text="Inter">
      <formula>NOT(ISERROR(SEARCH("Inter",U24)))</formula>
    </cfRule>
    <cfRule type="containsText" dxfId="529" priority="83" operator="containsText" text="Itaú">
      <formula>NOT(ISERROR(SEARCH("Itaú",U24)))</formula>
    </cfRule>
    <cfRule type="containsText" dxfId="528" priority="80" operator="containsText" text="Débito">
      <formula>NOT(ISERROR(SEARCH("Débito",U24)))</formula>
    </cfRule>
    <cfRule type="containsText" dxfId="527" priority="81" operator="containsText" text="Nubank">
      <formula>NOT(ISERROR(SEARCH("Nubank",U24)))</formula>
    </cfRule>
  </conditionalFormatting>
  <conditionalFormatting sqref="W5:W20">
    <cfRule type="expression" dxfId="526" priority="87">
      <formula>AND($V5&gt;0,W5&gt;$V5)</formula>
    </cfRule>
  </conditionalFormatting>
  <conditionalFormatting sqref="X5:X20">
    <cfRule type="expression" dxfId="525" priority="88">
      <formula>AND($V5&gt;0,W5&gt;$V5)</formula>
    </cfRule>
  </conditionalFormatting>
  <conditionalFormatting sqref="X24:X27">
    <cfRule type="containsText" dxfId="524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5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5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5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56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523" priority="63" operator="containsText" text="☐">
      <formula>NOT(ISERROR(SEARCH("☐",D11)))</formula>
    </cfRule>
    <cfRule type="containsText" dxfId="522" priority="62" operator="containsText" text="☑">
      <formula>NOT(ISERROR(SEARCH("☑",D11)))</formula>
    </cfRule>
  </conditionalFormatting>
  <conditionalFormatting sqref="F11:F18">
    <cfRule type="containsText" dxfId="521" priority="2" operator="containsText" text="Débito">
      <formula>NOT(ISERROR(SEARCH("Débito",F11)))</formula>
    </cfRule>
    <cfRule type="containsText" dxfId="520" priority="3" operator="containsText" text="Nubank">
      <formula>NOT(ISERROR(SEARCH("Nubank",F11)))</formula>
    </cfRule>
    <cfRule type="containsText" dxfId="519" priority="4" operator="containsText" text="Inter">
      <formula>NOT(ISERROR(SEARCH("Inter",F11)))</formula>
    </cfRule>
    <cfRule type="containsText" dxfId="518" priority="5" operator="containsText" text="Itaú">
      <formula>NOT(ISERROR(SEARCH("Itaú",F11)))</formula>
    </cfRule>
  </conditionalFormatting>
  <conditionalFormatting sqref="F24:F35">
    <cfRule type="containsText" dxfId="517" priority="6" operator="containsText" text="Débito">
      <formula>NOT(ISERROR(SEARCH("Débito",F24)))</formula>
    </cfRule>
    <cfRule type="containsText" dxfId="516" priority="7" operator="containsText" text="Nubank">
      <formula>NOT(ISERROR(SEARCH("Nubank",F24)))</formula>
    </cfRule>
    <cfRule type="containsText" dxfId="515" priority="8" operator="containsText" text="Inter">
      <formula>NOT(ISERROR(SEARCH("Inter",F24)))</formula>
    </cfRule>
    <cfRule type="containsText" dxfId="514" priority="9" operator="containsText" text="Itaú">
      <formula>NOT(ISERROR(SEARCH("Itaú",F24)))</formula>
    </cfRule>
  </conditionalFormatting>
  <conditionalFormatting sqref="G11:G18">
    <cfRule type="containsText" dxfId="513" priority="28" operator="containsText" text="Contas">
      <formula>NOT(ISERROR(SEARCH("Contas",G11)))</formula>
    </cfRule>
    <cfRule type="containsText" dxfId="512" priority="29" operator="containsText" text="Outros">
      <formula>NOT(ISERROR(SEARCH("Outros",G11)))</formula>
    </cfRule>
    <cfRule type="containsText" dxfId="511" priority="22" operator="containsText" text="Lazer">
      <formula>NOT(ISERROR(SEARCH("Lazer",G11)))</formula>
    </cfRule>
    <cfRule type="containsText" dxfId="510" priority="14" operator="containsText" text="Mercado">
      <formula>NOT(ISERROR(SEARCH("Mercado",G11)))</formula>
    </cfRule>
    <cfRule type="containsText" dxfId="509" priority="15" operator="containsText" text="Despesas eventuais">
      <formula>NOT(ISERROR(SEARCH("Despesas eventuais",G11)))</formula>
    </cfRule>
    <cfRule type="containsText" dxfId="508" priority="16" operator="containsText" text="Necessidades">
      <formula>NOT(ISERROR(SEARCH("Necessidades",G11)))</formula>
    </cfRule>
    <cfRule type="containsText" dxfId="507" priority="17" operator="containsText" text="Roupa">
      <formula>NOT(ISERROR(SEARCH("Roupa",G11)))</formula>
    </cfRule>
    <cfRule type="containsText" dxfId="506" priority="18" operator="containsText" text="Saúde">
      <formula>NOT(ISERROR(SEARCH("Saúde",G11)))</formula>
    </cfRule>
    <cfRule type="containsText" dxfId="505" priority="19" operator="containsText" text="Presentes">
      <formula>NOT(ISERROR(SEARCH("Presentes",G11)))</formula>
    </cfRule>
    <cfRule type="containsText" dxfId="504" priority="20" operator="containsText" text="Beleza">
      <formula>NOT(ISERROR(SEARCH("Beleza",G11)))</formula>
    </cfRule>
    <cfRule type="containsText" dxfId="503" priority="21" operator="containsText" text="Desenvolvimento">
      <formula>NOT(ISERROR(SEARCH("Desenvolvimento",G11)))</formula>
    </cfRule>
    <cfRule type="containsText" dxfId="502" priority="23" operator="containsText" text="Eletrônicos">
      <formula>NOT(ISERROR(SEARCH("Eletrônicos",G11)))</formula>
    </cfRule>
    <cfRule type="containsText" dxfId="501" priority="24" operator="containsText" text="Assinaturas">
      <formula>NOT(ISERROR(SEARCH("Assinaturas",G11)))</formula>
    </cfRule>
    <cfRule type="containsText" dxfId="500" priority="25" operator="containsText" text="Uber transporte">
      <formula>NOT(ISERROR(SEARCH("Uber transporte",G11)))</formula>
    </cfRule>
    <cfRule type="containsText" dxfId="499" priority="26" operator="containsText" text="iFood/restaurante">
      <formula>NOT(ISERROR(SEARCH("iFood/restaurante",G11)))</formula>
    </cfRule>
    <cfRule type="containsText" dxfId="498" priority="27" operator="containsText" text="Comida faculdade">
      <formula>NOT(ISERROR(SEARCH("Comida faculdade",G11)))</formula>
    </cfRule>
  </conditionalFormatting>
  <conditionalFormatting sqref="G24:G35">
    <cfRule type="containsText" dxfId="497" priority="44" operator="containsText" text="Contas">
      <formula>NOT(ISERROR(SEARCH("Contas",G24)))</formula>
    </cfRule>
    <cfRule type="containsText" dxfId="496" priority="45" operator="containsText" text="Outros">
      <formula>NOT(ISERROR(SEARCH("Outros",G24)))</formula>
    </cfRule>
    <cfRule type="containsText" dxfId="495" priority="30" operator="containsText" text="Mercado">
      <formula>NOT(ISERROR(SEARCH("Mercado",G24)))</formula>
    </cfRule>
    <cfRule type="containsText" dxfId="494" priority="31" operator="containsText" text="Despesas eventuais">
      <formula>NOT(ISERROR(SEARCH("Despesas eventuais",G24)))</formula>
    </cfRule>
    <cfRule type="containsText" dxfId="493" priority="32" operator="containsText" text="Necessidades">
      <formula>NOT(ISERROR(SEARCH("Necessidades",G24)))</formula>
    </cfRule>
    <cfRule type="containsText" dxfId="492" priority="33" operator="containsText" text="Roupa">
      <formula>NOT(ISERROR(SEARCH("Roupa",G24)))</formula>
    </cfRule>
    <cfRule type="containsText" dxfId="491" priority="34" operator="containsText" text="Saúde">
      <formula>NOT(ISERROR(SEARCH("Saúde",G24)))</formula>
    </cfRule>
    <cfRule type="containsText" dxfId="490" priority="35" operator="containsText" text="Presentes">
      <formula>NOT(ISERROR(SEARCH("Presentes",G24)))</formula>
    </cfRule>
    <cfRule type="containsText" dxfId="489" priority="36" operator="containsText" text="Beleza">
      <formula>NOT(ISERROR(SEARCH("Beleza",G24)))</formula>
    </cfRule>
    <cfRule type="containsText" dxfId="488" priority="37" operator="containsText" text="Desenvolvimento">
      <formula>NOT(ISERROR(SEARCH("Desenvolvimento",G24)))</formula>
    </cfRule>
    <cfRule type="containsText" dxfId="487" priority="38" operator="containsText" text="Lazer">
      <formula>NOT(ISERROR(SEARCH("Lazer",G24)))</formula>
    </cfRule>
    <cfRule type="containsText" dxfId="486" priority="39" operator="containsText" text="Eletrônicos">
      <formula>NOT(ISERROR(SEARCH("Eletrônicos",G24)))</formula>
    </cfRule>
    <cfRule type="containsText" dxfId="485" priority="40" operator="containsText" text="Assinaturas">
      <formula>NOT(ISERROR(SEARCH("Assinaturas",G24)))</formula>
    </cfRule>
    <cfRule type="containsText" dxfId="484" priority="41" operator="containsText" text="Uber transporte">
      <formula>NOT(ISERROR(SEARCH("Uber transporte",G24)))</formula>
    </cfRule>
    <cfRule type="containsText" dxfId="483" priority="42" operator="containsText" text="iFood/restaurante">
      <formula>NOT(ISERROR(SEARCH("iFood/restaurante",G24)))</formula>
    </cfRule>
    <cfRule type="containsText" dxfId="482" priority="43" operator="containsText" text="Comida faculdade">
      <formula>NOT(ISERROR(SEARCH("Comida faculdade",G24)))</formula>
    </cfRule>
  </conditionalFormatting>
  <conditionalFormatting sqref="M8:M35">
    <cfRule type="containsText" dxfId="481" priority="10" operator="containsText" text="Débito">
      <formula>NOT(ISERROR(SEARCH("Débito",M8)))</formula>
    </cfRule>
    <cfRule type="containsText" dxfId="480" priority="11" operator="containsText" text="Nubank">
      <formula>NOT(ISERROR(SEARCH("Nubank",M8)))</formula>
    </cfRule>
    <cfRule type="containsText" dxfId="479" priority="12" operator="containsText" text="Inter">
      <formula>NOT(ISERROR(SEARCH("Inter",M8)))</formula>
    </cfRule>
    <cfRule type="containsText" dxfId="478" priority="13" operator="containsText" text="Itaú">
      <formula>NOT(ISERROR(SEARCH("Itaú",M8)))</formula>
    </cfRule>
  </conditionalFormatting>
  <conditionalFormatting sqref="N8:O35">
    <cfRule type="containsText" dxfId="477" priority="46" operator="containsText" text="Mercado">
      <formula>NOT(ISERROR(SEARCH("Mercado",N8)))</formula>
    </cfRule>
    <cfRule type="containsText" dxfId="476" priority="47" operator="containsText" text="Despesas eventuais">
      <formula>NOT(ISERROR(SEARCH("Despesas eventuais",N8)))</formula>
    </cfRule>
    <cfRule type="containsText" dxfId="475" priority="48" operator="containsText" text="Necessidades">
      <formula>NOT(ISERROR(SEARCH("Necessidades",N8)))</formula>
    </cfRule>
    <cfRule type="containsText" dxfId="474" priority="49" operator="containsText" text="Roupa">
      <formula>NOT(ISERROR(SEARCH("Roupa",N8)))</formula>
    </cfRule>
    <cfRule type="containsText" dxfId="473" priority="50" operator="containsText" text="Saúde">
      <formula>NOT(ISERROR(SEARCH("Saúde",N8)))</formula>
    </cfRule>
    <cfRule type="containsText" dxfId="472" priority="51" operator="containsText" text="Presentes">
      <formula>NOT(ISERROR(SEARCH("Presentes",N8)))</formula>
    </cfRule>
    <cfRule type="containsText" dxfId="471" priority="52" operator="containsText" text="Beleza">
      <formula>NOT(ISERROR(SEARCH("Beleza",N8)))</formula>
    </cfRule>
    <cfRule type="containsText" dxfId="470" priority="53" operator="containsText" text="Desenvolvimento">
      <formula>NOT(ISERROR(SEARCH("Desenvolvimento",N8)))</formula>
    </cfRule>
    <cfRule type="containsText" dxfId="469" priority="54" operator="containsText" text="Lazer">
      <formula>NOT(ISERROR(SEARCH("Lazer",N8)))</formula>
    </cfRule>
    <cfRule type="containsText" dxfId="468" priority="55" operator="containsText" text="Eletrônicos">
      <formula>NOT(ISERROR(SEARCH("Eletrônicos",N8)))</formula>
    </cfRule>
    <cfRule type="containsText" dxfId="467" priority="56" operator="containsText" text="Assinaturas">
      <formula>NOT(ISERROR(SEARCH("Assinaturas",N8)))</formula>
    </cfRule>
    <cfRule type="containsText" dxfId="466" priority="57" operator="containsText" text="Uber transporte">
      <formula>NOT(ISERROR(SEARCH("Uber transporte",N8)))</formula>
    </cfRule>
    <cfRule type="containsText" dxfId="465" priority="58" operator="containsText" text="iFood/restaurante">
      <formula>NOT(ISERROR(SEARCH("iFood/restaurante",N8)))</formula>
    </cfRule>
    <cfRule type="containsText" dxfId="464" priority="59" operator="containsText" text="Comida faculdade">
      <formula>NOT(ISERROR(SEARCH("Comida faculdade",N8)))</formula>
    </cfRule>
    <cfRule type="containsText" dxfId="463" priority="60" operator="containsText" text="Contas">
      <formula>NOT(ISERROR(SEARCH("Contas",N8)))</formula>
    </cfRule>
    <cfRule type="containsText" dxfId="462" priority="61" operator="containsText" text="Outros">
      <formula>NOT(ISERROR(SEARCH("Outros",N8)))</formula>
    </cfRule>
  </conditionalFormatting>
  <conditionalFormatting sqref="S3">
    <cfRule type="cellIs" dxfId="461" priority="85" operator="greaterThanOrEqual">
      <formula>0</formula>
    </cfRule>
    <cfRule type="cellIs" dxfId="460" priority="86" operator="lessThan">
      <formula>0</formula>
    </cfRule>
  </conditionalFormatting>
  <conditionalFormatting sqref="U5:U20">
    <cfRule type="containsText" dxfId="459" priority="66" operator="containsText" text="Necessidades">
      <formula>NOT(ISERROR(SEARCH("Necessidades",U5)))</formula>
    </cfRule>
    <cfRule type="containsText" dxfId="458" priority="67" operator="containsText" text="Roupa">
      <formula>NOT(ISERROR(SEARCH("Roupa",U5)))</formula>
    </cfRule>
    <cfRule type="containsText" dxfId="457" priority="68" operator="containsText" text="Saúde">
      <formula>NOT(ISERROR(SEARCH("Saúde",U5)))</formula>
    </cfRule>
    <cfRule type="containsText" dxfId="456" priority="69" operator="containsText" text="Presentes">
      <formula>NOT(ISERROR(SEARCH("Presentes",U5)))</formula>
    </cfRule>
    <cfRule type="containsText" dxfId="455" priority="70" operator="containsText" text="Beleza">
      <formula>NOT(ISERROR(SEARCH("Beleza",U5)))</formula>
    </cfRule>
    <cfRule type="containsText" dxfId="454" priority="71" operator="containsText" text="Desenvolvimento">
      <formula>NOT(ISERROR(SEARCH("Desenvolvimento",U5)))</formula>
    </cfRule>
    <cfRule type="containsText" dxfId="453" priority="72" operator="containsText" text="Lazer">
      <formula>NOT(ISERROR(SEARCH("Lazer",U5)))</formula>
    </cfRule>
    <cfRule type="containsText" dxfId="452" priority="73" operator="containsText" text="Eletrônicos">
      <formula>NOT(ISERROR(SEARCH("Eletrônicos",U5)))</formula>
    </cfRule>
    <cfRule type="containsText" dxfId="451" priority="74" operator="containsText" text="Assinaturas">
      <formula>NOT(ISERROR(SEARCH("Assinaturas",U5)))</formula>
    </cfRule>
    <cfRule type="containsText" dxfId="450" priority="75" operator="containsText" text="Uber transporte">
      <formula>NOT(ISERROR(SEARCH("Uber transporte",U5)))</formula>
    </cfRule>
    <cfRule type="containsText" dxfId="449" priority="76" operator="containsText" text="iFood/restaurante">
      <formula>NOT(ISERROR(SEARCH("iFood/restaurante",U5)))</formula>
    </cfRule>
    <cfRule type="containsText" dxfId="448" priority="77" operator="containsText" text="Comida faculdade">
      <formula>NOT(ISERROR(SEARCH("Comida faculdade",U5)))</formula>
    </cfRule>
    <cfRule type="containsText" dxfId="447" priority="78" operator="containsText" text="Contas">
      <formula>NOT(ISERROR(SEARCH("Contas",U5)))</formula>
    </cfRule>
    <cfRule type="containsText" dxfId="446" priority="79" operator="containsText" text="Outros">
      <formula>NOT(ISERROR(SEARCH("Outros",U5)))</formula>
    </cfRule>
    <cfRule type="containsText" dxfId="445" priority="64" operator="containsText" text="Mercado">
      <formula>NOT(ISERROR(SEARCH("Mercado",U5)))</formula>
    </cfRule>
    <cfRule type="containsText" dxfId="444" priority="65" operator="containsText" text="Despesas eventuais">
      <formula>NOT(ISERROR(SEARCH("Despesas eventuais",U5)))</formula>
    </cfRule>
  </conditionalFormatting>
  <conditionalFormatting sqref="U24:U27">
    <cfRule type="containsText" dxfId="443" priority="82" operator="containsText" text="Inter">
      <formula>NOT(ISERROR(SEARCH("Inter",U24)))</formula>
    </cfRule>
    <cfRule type="containsText" dxfId="442" priority="83" operator="containsText" text="Itaú">
      <formula>NOT(ISERROR(SEARCH("Itaú",U24)))</formula>
    </cfRule>
    <cfRule type="containsText" dxfId="441" priority="80" operator="containsText" text="Débito">
      <formula>NOT(ISERROR(SEARCH("Débito",U24)))</formula>
    </cfRule>
    <cfRule type="containsText" dxfId="440" priority="81" operator="containsText" text="Nubank">
      <formula>NOT(ISERROR(SEARCH("Nubank",U24)))</formula>
    </cfRule>
  </conditionalFormatting>
  <conditionalFormatting sqref="W5:W20">
    <cfRule type="expression" dxfId="439" priority="87">
      <formula>AND($V5&gt;0,W5&gt;$V5)</formula>
    </cfRule>
  </conditionalFormatting>
  <conditionalFormatting sqref="X5:X20">
    <cfRule type="expression" dxfId="438" priority="88">
      <formula>AND($V5&gt;0,W5&gt;$V5)</formula>
    </cfRule>
  </conditionalFormatting>
  <conditionalFormatting sqref="X24:X27">
    <cfRule type="containsText" dxfId="437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6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6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6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55"/>
  <sheetViews>
    <sheetView showGridLines="0" zoomScaleNormal="100" workbookViewId="0">
      <selection activeCell="G17" sqref="G17"/>
    </sheetView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9.140625" bestFit="1" customWidth="1"/>
    <col min="5" max="5" width="5.85546875" bestFit="1" customWidth="1"/>
    <col min="6" max="6" width="7.140625" bestFit="1" customWidth="1"/>
    <col min="7" max="7" width="12.28515625" bestFit="1" customWidth="1"/>
    <col min="8" max="8" width="7.85546875" bestFit="1" customWidth="1"/>
    <col min="9" max="9" width="2.28515625" customWidth="1"/>
    <col min="10" max="10" width="11.140625" customWidth="1"/>
    <col min="11" max="11" width="4.85546875" customWidth="1"/>
    <col min="12" max="12" width="10.42578125" bestFit="1" customWidth="1"/>
    <col min="13" max="13" width="10" bestFit="1" customWidth="1"/>
    <col min="14" max="14" width="8.28515625" customWidth="1"/>
    <col min="15" max="15" width="6.85546875" customWidth="1"/>
    <col min="16" max="16" width="11.140625" bestFit="1" customWidth="1"/>
    <col min="17" max="17" width="2.28515625" customWidth="1"/>
    <col min="18" max="18" width="11.5703125" bestFit="1" customWidth="1"/>
    <col min="19" max="19" width="13" bestFit="1" customWidth="1"/>
    <col min="20" max="20" width="2.28515625" customWidth="1"/>
    <col min="21" max="21" width="16.85546875" bestFit="1" customWidth="1"/>
    <col min="22" max="22" width="15.42578125" bestFit="1" customWidth="1"/>
    <col min="23" max="23" width="11.85546875" bestFit="1" customWidth="1"/>
    <col min="24" max="24" width="13.5703125" bestFit="1" customWidth="1"/>
    <col min="25" max="25" width="2.28515625" customWidth="1"/>
    <col min="26" max="26" width="17.28515625" bestFit="1" customWidth="1"/>
    <col min="27" max="27" width="9.85546875" bestFit="1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57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184.09999999999991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282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1965.9</v>
      </c>
      <c r="G4" s="9"/>
      <c r="H4" s="9"/>
      <c r="I4" s="15"/>
      <c r="J4" s="8" t="s">
        <v>6</v>
      </c>
      <c r="K4" s="8"/>
      <c r="L4" s="8"/>
      <c r="M4" s="8"/>
      <c r="N4" s="7">
        <f>SUM(P8:P35)</f>
        <v>740.5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>
        <v>600</v>
      </c>
      <c r="W5" s="21">
        <f t="shared" ref="W5:W20" si="2">SUMIF($G$11:$G$18,U5,$H$11:$H$18)+SUMIF($G$24:$G$35,U5,$H$24:$H$35)+SUMIF($N$8:$N$35,U5,$P$8:$P$35)</f>
        <v>282</v>
      </c>
      <c r="X5" s="22">
        <f t="shared" ref="X5:X20" si="3">IF($F$4=0,0,W5/$F$4)</f>
        <v>0.14344575003815047</v>
      </c>
      <c r="Y5" s="15"/>
      <c r="Z5" s="15" t="str">
        <f t="shared" si="0"/>
        <v>Necessidades</v>
      </c>
      <c r="AA5" s="16">
        <f t="shared" si="1"/>
        <v>58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248.5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608.9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58</v>
      </c>
      <c r="X7" s="22">
        <f t="shared" si="3"/>
        <v>2.9503026603591231E-2</v>
      </c>
      <c r="Y7" s="15"/>
      <c r="Z7" s="15" t="str">
        <f t="shared" si="0"/>
        <v>Saúde</v>
      </c>
      <c r="AA7" s="16">
        <f t="shared" si="1"/>
        <v>158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 t="s">
        <v>9</v>
      </c>
      <c r="K8" s="4"/>
      <c r="L8" s="23">
        <v>46235</v>
      </c>
      <c r="M8" s="24" t="s">
        <v>32</v>
      </c>
      <c r="N8" s="3" t="s">
        <v>9</v>
      </c>
      <c r="O8" s="3"/>
      <c r="P8" s="25">
        <v>125</v>
      </c>
      <c r="Q8" s="15"/>
      <c r="R8" s="20" t="s">
        <v>19</v>
      </c>
      <c r="S8" s="26">
        <v>2400</v>
      </c>
      <c r="T8" s="15"/>
      <c r="U8" s="20" t="s">
        <v>20</v>
      </c>
      <c r="V8" s="21">
        <v>100</v>
      </c>
      <c r="W8" s="21">
        <f t="shared" si="2"/>
        <v>248.5</v>
      </c>
      <c r="X8" s="22">
        <f t="shared" si="3"/>
        <v>0.12640520881021414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 t="s">
        <v>58</v>
      </c>
      <c r="K9" s="4"/>
      <c r="L9" s="23">
        <v>46235</v>
      </c>
      <c r="M9" s="24" t="s">
        <v>32</v>
      </c>
      <c r="N9" s="3" t="s">
        <v>37</v>
      </c>
      <c r="O9" s="3"/>
      <c r="P9" s="25">
        <v>31</v>
      </c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158</v>
      </c>
      <c r="X9" s="22">
        <f t="shared" si="3"/>
        <v>8.037031385116232E-2</v>
      </c>
      <c r="Y9" s="15"/>
      <c r="Z9" s="15" t="str">
        <f t="shared" si="0"/>
        <v>Beleza</v>
      </c>
      <c r="AA9" s="16">
        <f t="shared" si="1"/>
        <v>332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 t="s">
        <v>58</v>
      </c>
      <c r="K10" s="4"/>
      <c r="L10" s="23">
        <v>46235</v>
      </c>
      <c r="M10" s="24" t="s">
        <v>32</v>
      </c>
      <c r="N10" s="3" t="s">
        <v>37</v>
      </c>
      <c r="O10" s="3"/>
      <c r="P10" s="25">
        <v>25</v>
      </c>
      <c r="Q10" s="15"/>
      <c r="R10" s="27" t="s">
        <v>25</v>
      </c>
      <c r="S10" s="28">
        <f>SUM(S8:S9)</f>
        <v>2400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 t="s">
        <v>59</v>
      </c>
      <c r="C11" s="4"/>
      <c r="D11" s="24" t="s">
        <v>49</v>
      </c>
      <c r="E11" s="23">
        <v>46239</v>
      </c>
      <c r="F11" s="24" t="s">
        <v>32</v>
      </c>
      <c r="G11" s="24" t="s">
        <v>23</v>
      </c>
      <c r="H11" s="25">
        <v>120</v>
      </c>
      <c r="I11" s="15"/>
      <c r="J11" s="4" t="s">
        <v>60</v>
      </c>
      <c r="K11" s="4"/>
      <c r="L11" s="23">
        <v>46236</v>
      </c>
      <c r="M11" s="24" t="s">
        <v>32</v>
      </c>
      <c r="N11" s="3" t="s">
        <v>39</v>
      </c>
      <c r="O11" s="3"/>
      <c r="P11" s="25">
        <v>39</v>
      </c>
      <c r="Q11" s="15"/>
      <c r="R11" s="15"/>
      <c r="S11" s="15"/>
      <c r="T11" s="15"/>
      <c r="U11" s="20" t="s">
        <v>27</v>
      </c>
      <c r="V11" s="21">
        <v>100</v>
      </c>
      <c r="W11" s="21">
        <f t="shared" si="2"/>
        <v>332</v>
      </c>
      <c r="X11" s="22">
        <f t="shared" si="3"/>
        <v>0.16887939366193599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 t="s">
        <v>61</v>
      </c>
      <c r="C12" s="4"/>
      <c r="D12" s="24" t="s">
        <v>49</v>
      </c>
      <c r="E12" s="23">
        <v>46240</v>
      </c>
      <c r="F12" s="24" t="s">
        <v>32</v>
      </c>
      <c r="G12" s="24" t="s">
        <v>41</v>
      </c>
      <c r="H12" s="25">
        <v>120</v>
      </c>
      <c r="I12" s="15"/>
      <c r="J12" s="4" t="s">
        <v>62</v>
      </c>
      <c r="K12" s="4"/>
      <c r="L12" s="23">
        <v>46236</v>
      </c>
      <c r="M12" s="24" t="s">
        <v>32</v>
      </c>
      <c r="N12" s="3" t="s">
        <v>39</v>
      </c>
      <c r="O12" s="3"/>
      <c r="P12" s="25">
        <v>35</v>
      </c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45</v>
      </c>
    </row>
    <row r="13" spans="1:27" ht="16.5" customHeight="1" x14ac:dyDescent="0.25">
      <c r="A13" s="15"/>
      <c r="B13" s="4" t="s">
        <v>63</v>
      </c>
      <c r="C13" s="4"/>
      <c r="D13" s="24" t="s">
        <v>49</v>
      </c>
      <c r="E13" s="23">
        <v>46241</v>
      </c>
      <c r="F13" s="24" t="s">
        <v>32</v>
      </c>
      <c r="G13" s="24" t="s">
        <v>41</v>
      </c>
      <c r="H13" s="25">
        <v>130</v>
      </c>
      <c r="I13" s="15"/>
      <c r="J13" s="4" t="s">
        <v>64</v>
      </c>
      <c r="K13" s="4"/>
      <c r="L13" s="23">
        <v>46237</v>
      </c>
      <c r="M13" s="24" t="s">
        <v>32</v>
      </c>
      <c r="N13" s="3" t="s">
        <v>27</v>
      </c>
      <c r="O13" s="3"/>
      <c r="P13" s="25">
        <v>47</v>
      </c>
      <c r="Q13" s="15"/>
      <c r="R13" s="20" t="s">
        <v>30</v>
      </c>
      <c r="S13" s="26">
        <f>SUMIF($F$11:$F$18,R13,$H$11:$H$18)+SUMIF($F$24:$F$35,R13,$H$24:$H$35)+SUMIF($M$8:$M$35,R13,$P$8:$P$35)</f>
        <v>96.9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103.9</v>
      </c>
    </row>
    <row r="14" spans="1:27" ht="16.5" customHeight="1" x14ac:dyDescent="0.25">
      <c r="A14" s="15"/>
      <c r="B14" s="4" t="s">
        <v>65</v>
      </c>
      <c r="C14" s="4"/>
      <c r="D14" s="24" t="s">
        <v>49</v>
      </c>
      <c r="E14" s="23">
        <v>46242</v>
      </c>
      <c r="F14" s="24" t="s">
        <v>30</v>
      </c>
      <c r="G14" s="24" t="s">
        <v>35</v>
      </c>
      <c r="H14" s="25">
        <v>11.9</v>
      </c>
      <c r="I14" s="15"/>
      <c r="J14" s="4" t="s">
        <v>66</v>
      </c>
      <c r="K14" s="4"/>
      <c r="L14" s="23">
        <v>46239</v>
      </c>
      <c r="M14" s="24" t="s">
        <v>34</v>
      </c>
      <c r="N14" s="3" t="s">
        <v>40</v>
      </c>
      <c r="O14" s="3"/>
      <c r="P14" s="25">
        <v>15</v>
      </c>
      <c r="Q14" s="15"/>
      <c r="R14" s="20" t="s">
        <v>32</v>
      </c>
      <c r="S14" s="26">
        <f>SUMIF($F$11:$F$18,R14,$H$11:$H$18)+SUMIF($F$24:$F$35,R14,$H$24:$H$35)+SUMIF($M$8:$M$35,R14,$P$8:$P$35)</f>
        <v>1417.5</v>
      </c>
      <c r="T14" s="15"/>
      <c r="U14" s="20" t="s">
        <v>33</v>
      </c>
      <c r="V14" s="21"/>
      <c r="W14" s="21">
        <f t="shared" si="2"/>
        <v>45</v>
      </c>
      <c r="X14" s="22">
        <f t="shared" si="3"/>
        <v>2.2890279261406989E-2</v>
      </c>
      <c r="Y14" s="15"/>
      <c r="Z14" s="15" t="str">
        <f t="shared" si="0"/>
        <v>Uber transporte</v>
      </c>
      <c r="AA14" s="16">
        <f t="shared" si="1"/>
        <v>83</v>
      </c>
    </row>
    <row r="15" spans="1:27" ht="16.5" customHeight="1" x14ac:dyDescent="0.25">
      <c r="A15" s="15"/>
      <c r="B15" s="4" t="s">
        <v>67</v>
      </c>
      <c r="C15" s="4"/>
      <c r="D15" s="24" t="s">
        <v>49</v>
      </c>
      <c r="E15" s="23">
        <v>46243</v>
      </c>
      <c r="F15" s="24" t="s">
        <v>32</v>
      </c>
      <c r="G15" s="24" t="s">
        <v>35</v>
      </c>
      <c r="H15" s="25">
        <v>55</v>
      </c>
      <c r="I15" s="15"/>
      <c r="J15" s="4" t="s">
        <v>68</v>
      </c>
      <c r="K15" s="4"/>
      <c r="L15" s="23">
        <v>46239</v>
      </c>
      <c r="M15" s="24" t="s">
        <v>32</v>
      </c>
      <c r="N15" s="3" t="s">
        <v>9</v>
      </c>
      <c r="O15" s="3"/>
      <c r="P15" s="25">
        <v>34</v>
      </c>
      <c r="Q15" s="15"/>
      <c r="R15" s="20" t="s">
        <v>34</v>
      </c>
      <c r="S15" s="26">
        <f>SUMIF($F$11:$F$18,R15,$H$11:$H$18)+SUMIF($F$24:$F$35,R15,$H$24:$H$35)+SUMIF($M$8:$M$35,R15,$P$8:$P$35)</f>
        <v>289.5</v>
      </c>
      <c r="T15" s="15"/>
      <c r="U15" s="20" t="s">
        <v>35</v>
      </c>
      <c r="V15" s="21"/>
      <c r="W15" s="21">
        <f t="shared" si="2"/>
        <v>103.9</v>
      </c>
      <c r="X15" s="22">
        <f t="shared" si="3"/>
        <v>5.2851111450226362E-2</v>
      </c>
      <c r="Y15" s="15"/>
      <c r="Z15" s="15" t="str">
        <f t="shared" si="0"/>
        <v>iFood/restaurante</v>
      </c>
      <c r="AA15" s="16">
        <f t="shared" si="1"/>
        <v>222.5</v>
      </c>
    </row>
    <row r="16" spans="1:27" ht="16.5" customHeight="1" x14ac:dyDescent="0.25">
      <c r="A16" s="15"/>
      <c r="B16" s="4" t="s">
        <v>69</v>
      </c>
      <c r="C16" s="4"/>
      <c r="D16" s="24" t="s">
        <v>49</v>
      </c>
      <c r="E16" s="23">
        <v>46244</v>
      </c>
      <c r="F16" s="24" t="s">
        <v>32</v>
      </c>
      <c r="G16" s="24" t="s">
        <v>41</v>
      </c>
      <c r="H16" s="25">
        <v>135</v>
      </c>
      <c r="I16" s="15"/>
      <c r="J16" s="4" t="s">
        <v>70</v>
      </c>
      <c r="K16" s="4"/>
      <c r="L16" s="23">
        <v>46240</v>
      </c>
      <c r="M16" s="24" t="s">
        <v>30</v>
      </c>
      <c r="N16" s="3" t="s">
        <v>18</v>
      </c>
      <c r="O16" s="3"/>
      <c r="P16" s="25">
        <v>20</v>
      </c>
      <c r="Q16" s="15"/>
      <c r="R16" s="20" t="s">
        <v>36</v>
      </c>
      <c r="S16" s="26">
        <f>SUMIF($F$11:$F$18,R16,$H$11:$H$18)+SUMIF($F$24:$F$35,R16,$H$24:$H$35)+SUMIF($M$8:$M$35,R16,$P$8:$P$35)</f>
        <v>162</v>
      </c>
      <c r="T16" s="15"/>
      <c r="U16" s="20" t="s">
        <v>37</v>
      </c>
      <c r="V16" s="21">
        <v>150</v>
      </c>
      <c r="W16" s="21">
        <f t="shared" si="2"/>
        <v>83</v>
      </c>
      <c r="X16" s="22">
        <f t="shared" si="3"/>
        <v>4.2219848415483999E-2</v>
      </c>
      <c r="Y16" s="15"/>
      <c r="Z16" s="15" t="str">
        <f t="shared" si="0"/>
        <v>Comida faculdade</v>
      </c>
      <c r="AA16" s="16">
        <f t="shared" si="1"/>
        <v>48</v>
      </c>
    </row>
    <row r="17" spans="1:27" ht="16.5" customHeight="1" x14ac:dyDescent="0.25">
      <c r="A17" s="15"/>
      <c r="B17" s="4" t="s">
        <v>71</v>
      </c>
      <c r="C17" s="4"/>
      <c r="D17" s="24" t="s">
        <v>49</v>
      </c>
      <c r="E17" s="23">
        <v>46244</v>
      </c>
      <c r="F17" s="24" t="s">
        <v>32</v>
      </c>
      <c r="G17" s="24" t="s">
        <v>35</v>
      </c>
      <c r="H17" s="25">
        <v>12</v>
      </c>
      <c r="I17" s="15"/>
      <c r="J17" s="4" t="s">
        <v>72</v>
      </c>
      <c r="K17" s="4"/>
      <c r="L17" s="23">
        <v>46240</v>
      </c>
      <c r="M17" s="24" t="s">
        <v>32</v>
      </c>
      <c r="N17" s="3" t="s">
        <v>39</v>
      </c>
      <c r="O17" s="3"/>
      <c r="P17" s="25">
        <v>42</v>
      </c>
      <c r="Q17" s="15"/>
      <c r="R17" s="20" t="s">
        <v>38</v>
      </c>
      <c r="S17" s="26">
        <f>S23</f>
        <v>250</v>
      </c>
      <c r="T17" s="15"/>
      <c r="U17" s="20" t="s">
        <v>39</v>
      </c>
      <c r="V17" s="21">
        <v>150</v>
      </c>
      <c r="W17" s="21">
        <f t="shared" si="2"/>
        <v>222.5</v>
      </c>
      <c r="X17" s="22">
        <f t="shared" si="3"/>
        <v>0.11317971412584567</v>
      </c>
      <c r="Y17" s="15"/>
      <c r="Z17" s="15" t="str">
        <f t="shared" si="0"/>
        <v>Contas</v>
      </c>
      <c r="AA17" s="16">
        <f t="shared" si="1"/>
        <v>385</v>
      </c>
    </row>
    <row r="18" spans="1:27" ht="16.5" customHeight="1" x14ac:dyDescent="0.25">
      <c r="A18" s="15"/>
      <c r="B18" s="2" t="s">
        <v>73</v>
      </c>
      <c r="C18" s="2"/>
      <c r="D18" s="30" t="s">
        <v>49</v>
      </c>
      <c r="E18" s="31">
        <v>46246</v>
      </c>
      <c r="F18" s="30" t="s">
        <v>32</v>
      </c>
      <c r="G18" s="30" t="s">
        <v>35</v>
      </c>
      <c r="H18" s="32">
        <v>25</v>
      </c>
      <c r="I18" s="15"/>
      <c r="J18" s="4" t="s">
        <v>74</v>
      </c>
      <c r="K18" s="4"/>
      <c r="L18" s="23">
        <v>46241</v>
      </c>
      <c r="M18" s="24" t="s">
        <v>32</v>
      </c>
      <c r="N18" s="3" t="s">
        <v>37</v>
      </c>
      <c r="O18" s="3"/>
      <c r="P18" s="25">
        <v>27</v>
      </c>
      <c r="Q18" s="15"/>
      <c r="R18" s="27" t="s">
        <v>25</v>
      </c>
      <c r="S18" s="28">
        <f>SUM(S13:S17)</f>
        <v>2215.9</v>
      </c>
      <c r="T18" s="15"/>
      <c r="U18" s="20" t="s">
        <v>40</v>
      </c>
      <c r="V18" s="21">
        <v>40</v>
      </c>
      <c r="W18" s="21">
        <f t="shared" si="2"/>
        <v>48</v>
      </c>
      <c r="X18" s="22">
        <f t="shared" si="3"/>
        <v>2.441629787883412E-2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 t="s">
        <v>66</v>
      </c>
      <c r="K19" s="4"/>
      <c r="L19" s="23">
        <v>46242</v>
      </c>
      <c r="M19" s="24" t="s">
        <v>32</v>
      </c>
      <c r="N19" s="3" t="s">
        <v>40</v>
      </c>
      <c r="O19" s="3"/>
      <c r="P19" s="25">
        <v>10</v>
      </c>
      <c r="Q19" s="15"/>
      <c r="R19" s="15"/>
      <c r="S19" s="15"/>
      <c r="T19" s="15"/>
      <c r="U19" s="20" t="s">
        <v>41</v>
      </c>
      <c r="V19" s="21"/>
      <c r="W19" s="21">
        <f t="shared" si="2"/>
        <v>385</v>
      </c>
      <c r="X19" s="22">
        <f t="shared" si="3"/>
        <v>0.19583905590314868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616.5</v>
      </c>
      <c r="G20" s="7"/>
      <c r="H20" s="7"/>
      <c r="I20" s="15"/>
      <c r="J20" s="4" t="s">
        <v>9</v>
      </c>
      <c r="K20" s="4"/>
      <c r="L20" s="23">
        <v>46243</v>
      </c>
      <c r="M20" s="24" t="s">
        <v>32</v>
      </c>
      <c r="N20" s="3" t="s">
        <v>9</v>
      </c>
      <c r="O20" s="3"/>
      <c r="P20" s="25">
        <v>65</v>
      </c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 t="s">
        <v>75</v>
      </c>
      <c r="K21" s="4"/>
      <c r="L21" s="23">
        <v>46244</v>
      </c>
      <c r="M21" s="24" t="s">
        <v>30</v>
      </c>
      <c r="N21" s="3" t="s">
        <v>39</v>
      </c>
      <c r="O21" s="3"/>
      <c r="P21" s="25">
        <v>65</v>
      </c>
      <c r="Q21" s="15"/>
      <c r="R21" s="20" t="s">
        <v>44</v>
      </c>
      <c r="S21" s="26">
        <v>150</v>
      </c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 t="s">
        <v>76</v>
      </c>
      <c r="K22" s="4"/>
      <c r="L22" s="23">
        <v>46245</v>
      </c>
      <c r="M22" s="24" t="s">
        <v>32</v>
      </c>
      <c r="N22" s="3" t="s">
        <v>23</v>
      </c>
      <c r="O22" s="3"/>
      <c r="P22" s="25">
        <v>38</v>
      </c>
      <c r="Q22" s="15"/>
      <c r="R22" s="20" t="s">
        <v>46</v>
      </c>
      <c r="S22" s="26">
        <v>100</v>
      </c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 t="s">
        <v>66</v>
      </c>
      <c r="K23" s="4"/>
      <c r="L23" s="23">
        <v>46246</v>
      </c>
      <c r="M23" s="24" t="s">
        <v>32</v>
      </c>
      <c r="N23" s="3" t="s">
        <v>40</v>
      </c>
      <c r="O23" s="3"/>
      <c r="P23" s="25">
        <v>8</v>
      </c>
      <c r="Q23" s="15"/>
      <c r="R23" s="27" t="s">
        <v>25</v>
      </c>
      <c r="S23" s="28">
        <f>SUM(S21:S22)</f>
        <v>250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 t="s">
        <v>77</v>
      </c>
      <c r="C24" s="4"/>
      <c r="D24" s="24" t="s">
        <v>78</v>
      </c>
      <c r="E24" s="23">
        <v>46137</v>
      </c>
      <c r="F24" s="24" t="s">
        <v>32</v>
      </c>
      <c r="G24" s="24" t="s">
        <v>27</v>
      </c>
      <c r="H24" s="25">
        <v>105</v>
      </c>
      <c r="I24" s="15"/>
      <c r="J24" s="4" t="s">
        <v>9</v>
      </c>
      <c r="K24" s="4"/>
      <c r="L24" s="23">
        <v>46247</v>
      </c>
      <c r="M24" s="24" t="s">
        <v>32</v>
      </c>
      <c r="N24" s="3" t="s">
        <v>9</v>
      </c>
      <c r="O24" s="3"/>
      <c r="P24" s="25">
        <v>58</v>
      </c>
      <c r="Q24" s="15"/>
      <c r="R24" s="15"/>
      <c r="S24" s="15"/>
      <c r="T24" s="15"/>
      <c r="U24" s="20" t="s">
        <v>30</v>
      </c>
      <c r="V24" s="35">
        <f>S13</f>
        <v>96.9</v>
      </c>
      <c r="W24" s="36">
        <v>46266</v>
      </c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 t="s">
        <v>79</v>
      </c>
      <c r="C25" s="4"/>
      <c r="D25" s="24" t="s">
        <v>80</v>
      </c>
      <c r="E25" s="23">
        <v>46124</v>
      </c>
      <c r="F25" s="24" t="s">
        <v>36</v>
      </c>
      <c r="G25" s="24" t="s">
        <v>33</v>
      </c>
      <c r="H25" s="25">
        <v>45</v>
      </c>
      <c r="I25" s="15"/>
      <c r="J25" s="4" t="s">
        <v>81</v>
      </c>
      <c r="K25" s="4"/>
      <c r="L25" s="23">
        <v>46249</v>
      </c>
      <c r="M25" s="24" t="s">
        <v>32</v>
      </c>
      <c r="N25" s="3" t="s">
        <v>39</v>
      </c>
      <c r="O25" s="3"/>
      <c r="P25" s="25">
        <v>41.5</v>
      </c>
      <c r="Q25" s="15"/>
      <c r="R25" s="15"/>
      <c r="S25" s="15"/>
      <c r="T25" s="15"/>
      <c r="U25" s="20" t="s">
        <v>32</v>
      </c>
      <c r="V25" s="35">
        <f>S14</f>
        <v>1417.5</v>
      </c>
      <c r="W25" s="36">
        <v>46267</v>
      </c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 t="s">
        <v>82</v>
      </c>
      <c r="C26" s="4"/>
      <c r="D26" s="24" t="s">
        <v>83</v>
      </c>
      <c r="E26" s="23">
        <v>46167</v>
      </c>
      <c r="F26" s="24" t="s">
        <v>32</v>
      </c>
      <c r="G26" s="24" t="s">
        <v>20</v>
      </c>
      <c r="H26" s="25">
        <v>37</v>
      </c>
      <c r="I26" s="15"/>
      <c r="J26" s="4" t="s">
        <v>84</v>
      </c>
      <c r="K26" s="4"/>
      <c r="L26" s="23">
        <v>46250</v>
      </c>
      <c r="M26" s="24" t="s">
        <v>32</v>
      </c>
      <c r="N26" s="3" t="s">
        <v>40</v>
      </c>
      <c r="O26" s="3"/>
      <c r="P26" s="25">
        <v>15</v>
      </c>
      <c r="Q26" s="15"/>
      <c r="R26" s="15"/>
      <c r="S26" s="15"/>
      <c r="T26" s="15"/>
      <c r="U26" s="20" t="s">
        <v>34</v>
      </c>
      <c r="V26" s="35">
        <f>S15</f>
        <v>289.5</v>
      </c>
      <c r="W26" s="36">
        <v>46268</v>
      </c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 t="s">
        <v>85</v>
      </c>
      <c r="C27" s="4"/>
      <c r="D27" s="24" t="s">
        <v>86</v>
      </c>
      <c r="E27" s="23">
        <v>46190</v>
      </c>
      <c r="F27" s="24" t="s">
        <v>36</v>
      </c>
      <c r="G27" s="24" t="s">
        <v>27</v>
      </c>
      <c r="H27" s="25">
        <v>42</v>
      </c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162</v>
      </c>
      <c r="W27" s="39">
        <v>46269</v>
      </c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 t="s">
        <v>87</v>
      </c>
      <c r="C28" s="4"/>
      <c r="D28" s="24" t="s">
        <v>88</v>
      </c>
      <c r="E28" s="23">
        <v>46206</v>
      </c>
      <c r="F28" s="24" t="s">
        <v>34</v>
      </c>
      <c r="G28" s="24" t="s">
        <v>27</v>
      </c>
      <c r="H28" s="25">
        <v>63</v>
      </c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 t="s">
        <v>89</v>
      </c>
      <c r="C29" s="4"/>
      <c r="D29" s="24" t="s">
        <v>90</v>
      </c>
      <c r="E29" s="23">
        <v>46211</v>
      </c>
      <c r="F29" s="24" t="s">
        <v>34</v>
      </c>
      <c r="G29" s="24" t="s">
        <v>20</v>
      </c>
      <c r="H29" s="25">
        <v>69</v>
      </c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 t="s">
        <v>91</v>
      </c>
      <c r="C30" s="4"/>
      <c r="D30" s="24" t="s">
        <v>90</v>
      </c>
      <c r="E30" s="23">
        <v>46212</v>
      </c>
      <c r="F30" s="24" t="s">
        <v>36</v>
      </c>
      <c r="G30" s="24" t="s">
        <v>27</v>
      </c>
      <c r="H30" s="25">
        <v>75</v>
      </c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 t="s">
        <v>92</v>
      </c>
      <c r="C31" s="4"/>
      <c r="D31" s="24" t="s">
        <v>93</v>
      </c>
      <c r="E31" s="23">
        <v>46213</v>
      </c>
      <c r="F31" s="24" t="s">
        <v>34</v>
      </c>
      <c r="G31" s="24" t="s">
        <v>20</v>
      </c>
      <c r="H31" s="25">
        <v>75</v>
      </c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 t="s">
        <v>94</v>
      </c>
      <c r="C32" s="4"/>
      <c r="D32" s="24" t="s">
        <v>90</v>
      </c>
      <c r="E32" s="23">
        <v>46213</v>
      </c>
      <c r="F32" s="24" t="s">
        <v>34</v>
      </c>
      <c r="G32" s="24" t="s">
        <v>20</v>
      </c>
      <c r="H32" s="25">
        <v>67.5</v>
      </c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 t="s">
        <v>95</v>
      </c>
      <c r="C33" s="4"/>
      <c r="D33" s="24" t="s">
        <v>96</v>
      </c>
      <c r="E33" s="23">
        <v>46215</v>
      </c>
      <c r="F33" s="24" t="s">
        <v>32</v>
      </c>
      <c r="G33" s="24" t="s">
        <v>18</v>
      </c>
      <c r="H33" s="25">
        <v>38</v>
      </c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autoFilter ref="J7:P7" xr:uid="{00000000-0009-0000-0000-000007000000}">
    <filterColumn colId="0" hiddenButton="1"/>
    <filterColumn colId="1" hiddenButton="1"/>
  </autoFilter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436" priority="63" operator="containsText" text="☐">
      <formula>NOT(ISERROR(SEARCH("☐",D11)))</formula>
    </cfRule>
    <cfRule type="containsText" dxfId="435" priority="62" operator="containsText" text="☑">
      <formula>NOT(ISERROR(SEARCH("☑",D11)))</formula>
    </cfRule>
  </conditionalFormatting>
  <conditionalFormatting sqref="F11:F18">
    <cfRule type="containsText" dxfId="434" priority="2" operator="containsText" text="Débito">
      <formula>NOT(ISERROR(SEARCH("Débito",F11)))</formula>
    </cfRule>
    <cfRule type="containsText" dxfId="433" priority="3" operator="containsText" text="Nubank">
      <formula>NOT(ISERROR(SEARCH("Nubank",F11)))</formula>
    </cfRule>
    <cfRule type="containsText" dxfId="432" priority="4" operator="containsText" text="Inter">
      <formula>NOT(ISERROR(SEARCH("Inter",F11)))</formula>
    </cfRule>
    <cfRule type="containsText" dxfId="431" priority="5" operator="containsText" text="Itaú">
      <formula>NOT(ISERROR(SEARCH("Itaú",F11)))</formula>
    </cfRule>
  </conditionalFormatting>
  <conditionalFormatting sqref="F24:F35">
    <cfRule type="containsText" dxfId="430" priority="6" operator="containsText" text="Débito">
      <formula>NOT(ISERROR(SEARCH("Débito",F24)))</formula>
    </cfRule>
    <cfRule type="containsText" dxfId="429" priority="7" operator="containsText" text="Nubank">
      <formula>NOT(ISERROR(SEARCH("Nubank",F24)))</formula>
    </cfRule>
    <cfRule type="containsText" dxfId="428" priority="8" operator="containsText" text="Inter">
      <formula>NOT(ISERROR(SEARCH("Inter",F24)))</formula>
    </cfRule>
    <cfRule type="containsText" dxfId="427" priority="9" operator="containsText" text="Itaú">
      <formula>NOT(ISERROR(SEARCH("Itaú",F24)))</formula>
    </cfRule>
  </conditionalFormatting>
  <conditionalFormatting sqref="G11:G18">
    <cfRule type="containsText" dxfId="426" priority="28" operator="containsText" text="Contas">
      <formula>NOT(ISERROR(SEARCH("Contas",G11)))</formula>
    </cfRule>
    <cfRule type="containsText" dxfId="425" priority="29" operator="containsText" text="Outros">
      <formula>NOT(ISERROR(SEARCH("Outros",G11)))</formula>
    </cfRule>
    <cfRule type="containsText" dxfId="424" priority="22" operator="containsText" text="Lazer">
      <formula>NOT(ISERROR(SEARCH("Lazer",G11)))</formula>
    </cfRule>
    <cfRule type="containsText" dxfId="423" priority="14" operator="containsText" text="Mercado">
      <formula>NOT(ISERROR(SEARCH("Mercado",G11)))</formula>
    </cfRule>
    <cfRule type="containsText" dxfId="422" priority="15" operator="containsText" text="Despesas eventuais">
      <formula>NOT(ISERROR(SEARCH("Despesas eventuais",G11)))</formula>
    </cfRule>
    <cfRule type="containsText" dxfId="421" priority="16" operator="containsText" text="Necessidades">
      <formula>NOT(ISERROR(SEARCH("Necessidades",G11)))</formula>
    </cfRule>
    <cfRule type="containsText" dxfId="420" priority="17" operator="containsText" text="Roupa">
      <formula>NOT(ISERROR(SEARCH("Roupa",G11)))</formula>
    </cfRule>
    <cfRule type="containsText" dxfId="419" priority="18" operator="containsText" text="Saúde">
      <formula>NOT(ISERROR(SEARCH("Saúde",G11)))</formula>
    </cfRule>
    <cfRule type="containsText" dxfId="418" priority="19" operator="containsText" text="Presentes">
      <formula>NOT(ISERROR(SEARCH("Presentes",G11)))</formula>
    </cfRule>
    <cfRule type="containsText" dxfId="417" priority="20" operator="containsText" text="Beleza">
      <formula>NOT(ISERROR(SEARCH("Beleza",G11)))</formula>
    </cfRule>
    <cfRule type="containsText" dxfId="416" priority="21" operator="containsText" text="Desenvolvimento">
      <formula>NOT(ISERROR(SEARCH("Desenvolvimento",G11)))</formula>
    </cfRule>
    <cfRule type="containsText" dxfId="415" priority="23" operator="containsText" text="Eletrônicos">
      <formula>NOT(ISERROR(SEARCH("Eletrônicos",G11)))</formula>
    </cfRule>
    <cfRule type="containsText" dxfId="414" priority="24" operator="containsText" text="Assinaturas">
      <formula>NOT(ISERROR(SEARCH("Assinaturas",G11)))</formula>
    </cfRule>
    <cfRule type="containsText" dxfId="413" priority="25" operator="containsText" text="Uber transporte">
      <formula>NOT(ISERROR(SEARCH("Uber transporte",G11)))</formula>
    </cfRule>
    <cfRule type="containsText" dxfId="412" priority="26" operator="containsText" text="iFood/restaurante">
      <formula>NOT(ISERROR(SEARCH("iFood/restaurante",G11)))</formula>
    </cfRule>
    <cfRule type="containsText" dxfId="411" priority="27" operator="containsText" text="Comida faculdade">
      <formula>NOT(ISERROR(SEARCH("Comida faculdade",G11)))</formula>
    </cfRule>
  </conditionalFormatting>
  <conditionalFormatting sqref="G24:G35">
    <cfRule type="containsText" dxfId="410" priority="44" operator="containsText" text="Contas">
      <formula>NOT(ISERROR(SEARCH("Contas",G24)))</formula>
    </cfRule>
    <cfRule type="containsText" dxfId="409" priority="45" operator="containsText" text="Outros">
      <formula>NOT(ISERROR(SEARCH("Outros",G24)))</formula>
    </cfRule>
    <cfRule type="containsText" dxfId="408" priority="30" operator="containsText" text="Mercado">
      <formula>NOT(ISERROR(SEARCH("Mercado",G24)))</formula>
    </cfRule>
    <cfRule type="containsText" dxfId="407" priority="31" operator="containsText" text="Despesas eventuais">
      <formula>NOT(ISERROR(SEARCH("Despesas eventuais",G24)))</formula>
    </cfRule>
    <cfRule type="containsText" dxfId="406" priority="32" operator="containsText" text="Necessidades">
      <formula>NOT(ISERROR(SEARCH("Necessidades",G24)))</formula>
    </cfRule>
    <cfRule type="containsText" dxfId="405" priority="33" operator="containsText" text="Roupa">
      <formula>NOT(ISERROR(SEARCH("Roupa",G24)))</formula>
    </cfRule>
    <cfRule type="containsText" dxfId="404" priority="34" operator="containsText" text="Saúde">
      <formula>NOT(ISERROR(SEARCH("Saúde",G24)))</formula>
    </cfRule>
    <cfRule type="containsText" dxfId="403" priority="35" operator="containsText" text="Presentes">
      <formula>NOT(ISERROR(SEARCH("Presentes",G24)))</formula>
    </cfRule>
    <cfRule type="containsText" dxfId="402" priority="36" operator="containsText" text="Beleza">
      <formula>NOT(ISERROR(SEARCH("Beleza",G24)))</formula>
    </cfRule>
    <cfRule type="containsText" dxfId="401" priority="37" operator="containsText" text="Desenvolvimento">
      <formula>NOT(ISERROR(SEARCH("Desenvolvimento",G24)))</formula>
    </cfRule>
    <cfRule type="containsText" dxfId="400" priority="38" operator="containsText" text="Lazer">
      <formula>NOT(ISERROR(SEARCH("Lazer",G24)))</formula>
    </cfRule>
    <cfRule type="containsText" dxfId="399" priority="39" operator="containsText" text="Eletrônicos">
      <formula>NOT(ISERROR(SEARCH("Eletrônicos",G24)))</formula>
    </cfRule>
    <cfRule type="containsText" dxfId="398" priority="40" operator="containsText" text="Assinaturas">
      <formula>NOT(ISERROR(SEARCH("Assinaturas",G24)))</formula>
    </cfRule>
    <cfRule type="containsText" dxfId="397" priority="41" operator="containsText" text="Uber transporte">
      <formula>NOT(ISERROR(SEARCH("Uber transporte",G24)))</formula>
    </cfRule>
    <cfRule type="containsText" dxfId="396" priority="42" operator="containsText" text="iFood/restaurante">
      <formula>NOT(ISERROR(SEARCH("iFood/restaurante",G24)))</formula>
    </cfRule>
    <cfRule type="containsText" dxfId="395" priority="43" operator="containsText" text="Comida faculdade">
      <formula>NOT(ISERROR(SEARCH("Comida faculdade",G24)))</formula>
    </cfRule>
  </conditionalFormatting>
  <conditionalFormatting sqref="M8:M35">
    <cfRule type="containsText" dxfId="394" priority="10" operator="containsText" text="Débito">
      <formula>NOT(ISERROR(SEARCH("Débito",M8)))</formula>
    </cfRule>
    <cfRule type="containsText" dxfId="393" priority="11" operator="containsText" text="Nubank">
      <formula>NOT(ISERROR(SEARCH("Nubank",M8)))</formula>
    </cfRule>
    <cfRule type="containsText" dxfId="392" priority="12" operator="containsText" text="Inter">
      <formula>NOT(ISERROR(SEARCH("Inter",M8)))</formula>
    </cfRule>
    <cfRule type="containsText" dxfId="391" priority="13" operator="containsText" text="Itaú">
      <formula>NOT(ISERROR(SEARCH("Itaú",M8)))</formula>
    </cfRule>
  </conditionalFormatting>
  <conditionalFormatting sqref="N8:O35">
    <cfRule type="containsText" dxfId="390" priority="46" operator="containsText" text="Mercado">
      <formula>NOT(ISERROR(SEARCH("Mercado",N8)))</formula>
    </cfRule>
    <cfRule type="containsText" dxfId="389" priority="47" operator="containsText" text="Despesas eventuais">
      <formula>NOT(ISERROR(SEARCH("Despesas eventuais",N8)))</formula>
    </cfRule>
    <cfRule type="containsText" dxfId="388" priority="48" operator="containsText" text="Necessidades">
      <formula>NOT(ISERROR(SEARCH("Necessidades",N8)))</formula>
    </cfRule>
    <cfRule type="containsText" dxfId="387" priority="49" operator="containsText" text="Roupa">
      <formula>NOT(ISERROR(SEARCH("Roupa",N8)))</formula>
    </cfRule>
    <cfRule type="containsText" dxfId="386" priority="50" operator="containsText" text="Saúde">
      <formula>NOT(ISERROR(SEARCH("Saúde",N8)))</formula>
    </cfRule>
    <cfRule type="containsText" dxfId="385" priority="51" operator="containsText" text="Presentes">
      <formula>NOT(ISERROR(SEARCH("Presentes",N8)))</formula>
    </cfRule>
    <cfRule type="containsText" dxfId="384" priority="52" operator="containsText" text="Beleza">
      <formula>NOT(ISERROR(SEARCH("Beleza",N8)))</formula>
    </cfRule>
    <cfRule type="containsText" dxfId="383" priority="53" operator="containsText" text="Desenvolvimento">
      <formula>NOT(ISERROR(SEARCH("Desenvolvimento",N8)))</formula>
    </cfRule>
    <cfRule type="containsText" dxfId="382" priority="54" operator="containsText" text="Lazer">
      <formula>NOT(ISERROR(SEARCH("Lazer",N8)))</formula>
    </cfRule>
    <cfRule type="containsText" dxfId="381" priority="55" operator="containsText" text="Eletrônicos">
      <formula>NOT(ISERROR(SEARCH("Eletrônicos",N8)))</formula>
    </cfRule>
    <cfRule type="containsText" dxfId="380" priority="56" operator="containsText" text="Assinaturas">
      <formula>NOT(ISERROR(SEARCH("Assinaturas",N8)))</formula>
    </cfRule>
    <cfRule type="containsText" dxfId="379" priority="57" operator="containsText" text="Uber transporte">
      <formula>NOT(ISERROR(SEARCH("Uber transporte",N8)))</formula>
    </cfRule>
    <cfRule type="containsText" dxfId="378" priority="58" operator="containsText" text="iFood/restaurante">
      <formula>NOT(ISERROR(SEARCH("iFood/restaurante",N8)))</formula>
    </cfRule>
    <cfRule type="containsText" dxfId="377" priority="59" operator="containsText" text="Comida faculdade">
      <formula>NOT(ISERROR(SEARCH("Comida faculdade",N8)))</formula>
    </cfRule>
    <cfRule type="containsText" dxfId="376" priority="60" operator="containsText" text="Contas">
      <formula>NOT(ISERROR(SEARCH("Contas",N8)))</formula>
    </cfRule>
    <cfRule type="containsText" dxfId="375" priority="61" operator="containsText" text="Outros">
      <formula>NOT(ISERROR(SEARCH("Outros",N8)))</formula>
    </cfRule>
  </conditionalFormatting>
  <conditionalFormatting sqref="S3">
    <cfRule type="cellIs" dxfId="374" priority="85" operator="greaterThanOrEqual">
      <formula>0</formula>
    </cfRule>
    <cfRule type="cellIs" dxfId="373" priority="86" operator="lessThan">
      <formula>0</formula>
    </cfRule>
  </conditionalFormatting>
  <conditionalFormatting sqref="U5:U20">
    <cfRule type="containsText" dxfId="372" priority="66" operator="containsText" text="Necessidades">
      <formula>NOT(ISERROR(SEARCH("Necessidades",U5)))</formula>
    </cfRule>
    <cfRule type="containsText" dxfId="371" priority="67" operator="containsText" text="Roupa">
      <formula>NOT(ISERROR(SEARCH("Roupa",U5)))</formula>
    </cfRule>
    <cfRule type="containsText" dxfId="370" priority="68" operator="containsText" text="Saúde">
      <formula>NOT(ISERROR(SEARCH("Saúde",U5)))</formula>
    </cfRule>
    <cfRule type="containsText" dxfId="369" priority="69" operator="containsText" text="Presentes">
      <formula>NOT(ISERROR(SEARCH("Presentes",U5)))</formula>
    </cfRule>
    <cfRule type="containsText" dxfId="368" priority="70" operator="containsText" text="Beleza">
      <formula>NOT(ISERROR(SEARCH("Beleza",U5)))</formula>
    </cfRule>
    <cfRule type="containsText" dxfId="367" priority="71" operator="containsText" text="Desenvolvimento">
      <formula>NOT(ISERROR(SEARCH("Desenvolvimento",U5)))</formula>
    </cfRule>
    <cfRule type="containsText" dxfId="366" priority="72" operator="containsText" text="Lazer">
      <formula>NOT(ISERROR(SEARCH("Lazer",U5)))</formula>
    </cfRule>
    <cfRule type="containsText" dxfId="365" priority="73" operator="containsText" text="Eletrônicos">
      <formula>NOT(ISERROR(SEARCH("Eletrônicos",U5)))</formula>
    </cfRule>
    <cfRule type="containsText" dxfId="364" priority="74" operator="containsText" text="Assinaturas">
      <formula>NOT(ISERROR(SEARCH("Assinaturas",U5)))</formula>
    </cfRule>
    <cfRule type="containsText" dxfId="363" priority="75" operator="containsText" text="Uber transporte">
      <formula>NOT(ISERROR(SEARCH("Uber transporte",U5)))</formula>
    </cfRule>
    <cfRule type="containsText" dxfId="362" priority="76" operator="containsText" text="iFood/restaurante">
      <formula>NOT(ISERROR(SEARCH("iFood/restaurante",U5)))</formula>
    </cfRule>
    <cfRule type="containsText" dxfId="361" priority="77" operator="containsText" text="Comida faculdade">
      <formula>NOT(ISERROR(SEARCH("Comida faculdade",U5)))</formula>
    </cfRule>
    <cfRule type="containsText" dxfId="360" priority="78" operator="containsText" text="Contas">
      <formula>NOT(ISERROR(SEARCH("Contas",U5)))</formula>
    </cfRule>
    <cfRule type="containsText" dxfId="359" priority="79" operator="containsText" text="Outros">
      <formula>NOT(ISERROR(SEARCH("Outros",U5)))</formula>
    </cfRule>
    <cfRule type="containsText" dxfId="358" priority="64" operator="containsText" text="Mercado">
      <formula>NOT(ISERROR(SEARCH("Mercado",U5)))</formula>
    </cfRule>
    <cfRule type="containsText" dxfId="357" priority="65" operator="containsText" text="Despesas eventuais">
      <formula>NOT(ISERROR(SEARCH("Despesas eventuais",U5)))</formula>
    </cfRule>
  </conditionalFormatting>
  <conditionalFormatting sqref="U24:U27">
    <cfRule type="containsText" dxfId="356" priority="82" operator="containsText" text="Inter">
      <formula>NOT(ISERROR(SEARCH("Inter",U24)))</formula>
    </cfRule>
    <cfRule type="containsText" dxfId="355" priority="83" operator="containsText" text="Itaú">
      <formula>NOT(ISERROR(SEARCH("Itaú",U24)))</formula>
    </cfRule>
    <cfRule type="containsText" dxfId="354" priority="80" operator="containsText" text="Débito">
      <formula>NOT(ISERROR(SEARCH("Débito",U24)))</formula>
    </cfRule>
    <cfRule type="containsText" dxfId="353" priority="81" operator="containsText" text="Nubank">
      <formula>NOT(ISERROR(SEARCH("Nubank",U24)))</formula>
    </cfRule>
  </conditionalFormatting>
  <conditionalFormatting sqref="W5:W20">
    <cfRule type="expression" dxfId="352" priority="87">
      <formula>AND($V5&gt;0,W5&gt;$V5)</formula>
    </cfRule>
  </conditionalFormatting>
  <conditionalFormatting sqref="X5:X20">
    <cfRule type="expression" dxfId="351" priority="88">
      <formula>AND($V5&gt;0,W5&gt;$V5)</formula>
    </cfRule>
  </conditionalFormatting>
  <conditionalFormatting sqref="X24:X27">
    <cfRule type="containsText" dxfId="350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7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7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7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A55"/>
  <sheetViews>
    <sheetView showGridLines="0" tabSelected="1" zoomScaleNormal="100" workbookViewId="0">
      <selection activeCell="M19" sqref="M19"/>
    </sheetView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9.140625" bestFit="1" customWidth="1"/>
    <col min="5" max="5" width="5.85546875" bestFit="1" customWidth="1"/>
    <col min="6" max="6" width="6.140625" bestFit="1" customWidth="1"/>
    <col min="7" max="7" width="10.42578125" bestFit="1" customWidth="1"/>
    <col min="8" max="8" width="7.85546875" bestFit="1" customWidth="1"/>
    <col min="9" max="9" width="2.28515625" customWidth="1"/>
    <col min="10" max="10" width="11.140625" customWidth="1"/>
    <col min="11" max="11" width="4.85546875" customWidth="1"/>
    <col min="12" max="12" width="5.85546875" bestFit="1" customWidth="1"/>
    <col min="13" max="13" width="5.42578125" bestFit="1" customWidth="1"/>
    <col min="14" max="14" width="8.28515625" customWidth="1"/>
    <col min="15" max="15" width="6.85546875" customWidth="1"/>
    <col min="16" max="16" width="6.5703125" bestFit="1" customWidth="1"/>
    <col min="17" max="17" width="2.28515625" customWidth="1"/>
    <col min="18" max="18" width="11.5703125" bestFit="1" customWidth="1"/>
    <col min="19" max="19" width="15" bestFit="1" customWidth="1"/>
    <col min="20" max="20" width="2.28515625" customWidth="1"/>
    <col min="21" max="21" width="16.85546875" bestFit="1" customWidth="1"/>
    <col min="22" max="22" width="15.42578125" bestFit="1" customWidth="1"/>
    <col min="23" max="23" width="11.85546875" bestFit="1" customWidth="1"/>
    <col min="24" max="24" width="13.5703125" bestFit="1" customWidth="1"/>
    <col min="25" max="25" width="2.28515625" customWidth="1"/>
    <col min="26" max="26" width="17.28515625" bestFit="1" customWidth="1"/>
    <col min="27" max="27" width="9.85546875" bestFit="1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97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1400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300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130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300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130</v>
      </c>
      <c r="X7" s="22">
        <f t="shared" si="3"/>
        <v>0.43333333333333335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>
        <v>2500</v>
      </c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>
        <v>0</v>
      </c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2500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170</v>
      </c>
    </row>
    <row r="11" spans="1:27" ht="16.5" customHeight="1" x14ac:dyDescent="0.25">
      <c r="A11" s="15"/>
      <c r="B11" s="4" t="s">
        <v>63</v>
      </c>
      <c r="C11" s="4"/>
      <c r="D11" s="24" t="s">
        <v>49</v>
      </c>
      <c r="E11" s="23">
        <v>46249</v>
      </c>
      <c r="F11" s="24" t="s">
        <v>30</v>
      </c>
      <c r="G11" s="24" t="s">
        <v>18</v>
      </c>
      <c r="H11" s="25">
        <v>130</v>
      </c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 t="s">
        <v>122</v>
      </c>
      <c r="C12" s="4"/>
      <c r="D12" s="24" t="s">
        <v>49</v>
      </c>
      <c r="E12" s="23">
        <v>46259</v>
      </c>
      <c r="F12" s="24" t="s">
        <v>30</v>
      </c>
      <c r="G12" s="24" t="s">
        <v>29</v>
      </c>
      <c r="H12" s="25">
        <v>170</v>
      </c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170</v>
      </c>
      <c r="X12" s="22">
        <f t="shared" si="3"/>
        <v>0.56666666666666665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 t="s">
        <v>123</v>
      </c>
      <c r="C13" s="4"/>
      <c r="D13" s="24" t="s">
        <v>49</v>
      </c>
      <c r="E13" s="23">
        <v>11</v>
      </c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300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800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1100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>
        <v>800</v>
      </c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800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300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349" priority="63" operator="containsText" text="☐">
      <formula>NOT(ISERROR(SEARCH("☐",D11)))</formula>
    </cfRule>
    <cfRule type="containsText" dxfId="348" priority="62" operator="containsText" text="☑">
      <formula>NOT(ISERROR(SEARCH("☑",D11)))</formula>
    </cfRule>
  </conditionalFormatting>
  <conditionalFormatting sqref="F11:F18">
    <cfRule type="containsText" dxfId="347" priority="2" operator="containsText" text="Débito">
      <formula>NOT(ISERROR(SEARCH("Débito",F11)))</formula>
    </cfRule>
    <cfRule type="containsText" dxfId="346" priority="3" operator="containsText" text="Nubank">
      <formula>NOT(ISERROR(SEARCH("Nubank",F11)))</formula>
    </cfRule>
    <cfRule type="containsText" dxfId="345" priority="4" operator="containsText" text="Inter">
      <formula>NOT(ISERROR(SEARCH("Inter",F11)))</formula>
    </cfRule>
    <cfRule type="containsText" dxfId="344" priority="5" operator="containsText" text="Itaú">
      <formula>NOT(ISERROR(SEARCH("Itaú",F11)))</formula>
    </cfRule>
  </conditionalFormatting>
  <conditionalFormatting sqref="F24:F35">
    <cfRule type="containsText" dxfId="343" priority="6" operator="containsText" text="Débito">
      <formula>NOT(ISERROR(SEARCH("Débito",F24)))</formula>
    </cfRule>
    <cfRule type="containsText" dxfId="342" priority="7" operator="containsText" text="Nubank">
      <formula>NOT(ISERROR(SEARCH("Nubank",F24)))</formula>
    </cfRule>
    <cfRule type="containsText" dxfId="341" priority="8" operator="containsText" text="Inter">
      <formula>NOT(ISERROR(SEARCH("Inter",F24)))</formula>
    </cfRule>
    <cfRule type="containsText" dxfId="340" priority="9" operator="containsText" text="Itaú">
      <formula>NOT(ISERROR(SEARCH("Itaú",F24)))</formula>
    </cfRule>
  </conditionalFormatting>
  <conditionalFormatting sqref="G11:G18">
    <cfRule type="containsText" dxfId="339" priority="28" operator="containsText" text="Contas">
      <formula>NOT(ISERROR(SEARCH("Contas",G11)))</formula>
    </cfRule>
    <cfRule type="containsText" dxfId="338" priority="29" operator="containsText" text="Outros">
      <formula>NOT(ISERROR(SEARCH("Outros",G11)))</formula>
    </cfRule>
    <cfRule type="containsText" dxfId="337" priority="22" operator="containsText" text="Lazer">
      <formula>NOT(ISERROR(SEARCH("Lazer",G11)))</formula>
    </cfRule>
    <cfRule type="containsText" dxfId="336" priority="14" operator="containsText" text="Mercado">
      <formula>NOT(ISERROR(SEARCH("Mercado",G11)))</formula>
    </cfRule>
    <cfRule type="containsText" dxfId="335" priority="15" operator="containsText" text="Despesas eventuais">
      <formula>NOT(ISERROR(SEARCH("Despesas eventuais",G11)))</formula>
    </cfRule>
    <cfRule type="containsText" dxfId="334" priority="16" operator="containsText" text="Necessidades">
      <formula>NOT(ISERROR(SEARCH("Necessidades",G11)))</formula>
    </cfRule>
    <cfRule type="containsText" dxfId="333" priority="17" operator="containsText" text="Roupa">
      <formula>NOT(ISERROR(SEARCH("Roupa",G11)))</formula>
    </cfRule>
    <cfRule type="containsText" dxfId="332" priority="18" operator="containsText" text="Saúde">
      <formula>NOT(ISERROR(SEARCH("Saúde",G11)))</formula>
    </cfRule>
    <cfRule type="containsText" dxfId="331" priority="19" operator="containsText" text="Presentes">
      <formula>NOT(ISERROR(SEARCH("Presentes",G11)))</formula>
    </cfRule>
    <cfRule type="containsText" dxfId="330" priority="20" operator="containsText" text="Beleza">
      <formula>NOT(ISERROR(SEARCH("Beleza",G11)))</formula>
    </cfRule>
    <cfRule type="containsText" dxfId="329" priority="21" operator="containsText" text="Desenvolvimento">
      <formula>NOT(ISERROR(SEARCH("Desenvolvimento",G11)))</formula>
    </cfRule>
    <cfRule type="containsText" dxfId="328" priority="23" operator="containsText" text="Eletrônicos">
      <formula>NOT(ISERROR(SEARCH("Eletrônicos",G11)))</formula>
    </cfRule>
    <cfRule type="containsText" dxfId="327" priority="24" operator="containsText" text="Assinaturas">
      <formula>NOT(ISERROR(SEARCH("Assinaturas",G11)))</formula>
    </cfRule>
    <cfRule type="containsText" dxfId="326" priority="25" operator="containsText" text="Uber transporte">
      <formula>NOT(ISERROR(SEARCH("Uber transporte",G11)))</formula>
    </cfRule>
    <cfRule type="containsText" dxfId="325" priority="26" operator="containsText" text="iFood/restaurante">
      <formula>NOT(ISERROR(SEARCH("iFood/restaurante",G11)))</formula>
    </cfRule>
    <cfRule type="containsText" dxfId="324" priority="27" operator="containsText" text="Comida faculdade">
      <formula>NOT(ISERROR(SEARCH("Comida faculdade",G11)))</formula>
    </cfRule>
  </conditionalFormatting>
  <conditionalFormatting sqref="G24:G35">
    <cfRule type="containsText" dxfId="323" priority="44" operator="containsText" text="Contas">
      <formula>NOT(ISERROR(SEARCH("Contas",G24)))</formula>
    </cfRule>
    <cfRule type="containsText" dxfId="322" priority="45" operator="containsText" text="Outros">
      <formula>NOT(ISERROR(SEARCH("Outros",G24)))</formula>
    </cfRule>
    <cfRule type="containsText" dxfId="321" priority="30" operator="containsText" text="Mercado">
      <formula>NOT(ISERROR(SEARCH("Mercado",G24)))</formula>
    </cfRule>
    <cfRule type="containsText" dxfId="320" priority="31" operator="containsText" text="Despesas eventuais">
      <formula>NOT(ISERROR(SEARCH("Despesas eventuais",G24)))</formula>
    </cfRule>
    <cfRule type="containsText" dxfId="319" priority="32" operator="containsText" text="Necessidades">
      <formula>NOT(ISERROR(SEARCH("Necessidades",G24)))</formula>
    </cfRule>
    <cfRule type="containsText" dxfId="318" priority="33" operator="containsText" text="Roupa">
      <formula>NOT(ISERROR(SEARCH("Roupa",G24)))</formula>
    </cfRule>
    <cfRule type="containsText" dxfId="317" priority="34" operator="containsText" text="Saúde">
      <formula>NOT(ISERROR(SEARCH("Saúde",G24)))</formula>
    </cfRule>
    <cfRule type="containsText" dxfId="316" priority="35" operator="containsText" text="Presentes">
      <formula>NOT(ISERROR(SEARCH("Presentes",G24)))</formula>
    </cfRule>
    <cfRule type="containsText" dxfId="315" priority="36" operator="containsText" text="Beleza">
      <formula>NOT(ISERROR(SEARCH("Beleza",G24)))</formula>
    </cfRule>
    <cfRule type="containsText" dxfId="314" priority="37" operator="containsText" text="Desenvolvimento">
      <formula>NOT(ISERROR(SEARCH("Desenvolvimento",G24)))</formula>
    </cfRule>
    <cfRule type="containsText" dxfId="313" priority="38" operator="containsText" text="Lazer">
      <formula>NOT(ISERROR(SEARCH("Lazer",G24)))</formula>
    </cfRule>
    <cfRule type="containsText" dxfId="312" priority="39" operator="containsText" text="Eletrônicos">
      <formula>NOT(ISERROR(SEARCH("Eletrônicos",G24)))</formula>
    </cfRule>
    <cfRule type="containsText" dxfId="311" priority="40" operator="containsText" text="Assinaturas">
      <formula>NOT(ISERROR(SEARCH("Assinaturas",G24)))</formula>
    </cfRule>
    <cfRule type="containsText" dxfId="310" priority="41" operator="containsText" text="Uber transporte">
      <formula>NOT(ISERROR(SEARCH("Uber transporte",G24)))</formula>
    </cfRule>
    <cfRule type="containsText" dxfId="309" priority="42" operator="containsText" text="iFood/restaurante">
      <formula>NOT(ISERROR(SEARCH("iFood/restaurante",G24)))</formula>
    </cfRule>
    <cfRule type="containsText" dxfId="308" priority="43" operator="containsText" text="Comida faculdade">
      <formula>NOT(ISERROR(SEARCH("Comida faculdade",G24)))</formula>
    </cfRule>
  </conditionalFormatting>
  <conditionalFormatting sqref="M8:M35">
    <cfRule type="containsText" dxfId="307" priority="10" operator="containsText" text="Débito">
      <formula>NOT(ISERROR(SEARCH("Débito",M8)))</formula>
    </cfRule>
    <cfRule type="containsText" dxfId="306" priority="11" operator="containsText" text="Nubank">
      <formula>NOT(ISERROR(SEARCH("Nubank",M8)))</formula>
    </cfRule>
    <cfRule type="containsText" dxfId="305" priority="12" operator="containsText" text="Inter">
      <formula>NOT(ISERROR(SEARCH("Inter",M8)))</formula>
    </cfRule>
    <cfRule type="containsText" dxfId="304" priority="13" operator="containsText" text="Itaú">
      <formula>NOT(ISERROR(SEARCH("Itaú",M8)))</formula>
    </cfRule>
  </conditionalFormatting>
  <conditionalFormatting sqref="N8:O35">
    <cfRule type="containsText" dxfId="303" priority="46" operator="containsText" text="Mercado">
      <formula>NOT(ISERROR(SEARCH("Mercado",N8)))</formula>
    </cfRule>
    <cfRule type="containsText" dxfId="302" priority="47" operator="containsText" text="Despesas eventuais">
      <formula>NOT(ISERROR(SEARCH("Despesas eventuais",N8)))</formula>
    </cfRule>
    <cfRule type="containsText" dxfId="301" priority="48" operator="containsText" text="Necessidades">
      <formula>NOT(ISERROR(SEARCH("Necessidades",N8)))</formula>
    </cfRule>
    <cfRule type="containsText" dxfId="300" priority="49" operator="containsText" text="Roupa">
      <formula>NOT(ISERROR(SEARCH("Roupa",N8)))</formula>
    </cfRule>
    <cfRule type="containsText" dxfId="299" priority="50" operator="containsText" text="Saúde">
      <formula>NOT(ISERROR(SEARCH("Saúde",N8)))</formula>
    </cfRule>
    <cfRule type="containsText" dxfId="298" priority="51" operator="containsText" text="Presentes">
      <formula>NOT(ISERROR(SEARCH("Presentes",N8)))</formula>
    </cfRule>
    <cfRule type="containsText" dxfId="297" priority="52" operator="containsText" text="Beleza">
      <formula>NOT(ISERROR(SEARCH("Beleza",N8)))</formula>
    </cfRule>
    <cfRule type="containsText" dxfId="296" priority="53" operator="containsText" text="Desenvolvimento">
      <formula>NOT(ISERROR(SEARCH("Desenvolvimento",N8)))</formula>
    </cfRule>
    <cfRule type="containsText" dxfId="295" priority="54" operator="containsText" text="Lazer">
      <formula>NOT(ISERROR(SEARCH("Lazer",N8)))</formula>
    </cfRule>
    <cfRule type="containsText" dxfId="294" priority="55" operator="containsText" text="Eletrônicos">
      <formula>NOT(ISERROR(SEARCH("Eletrônicos",N8)))</formula>
    </cfRule>
    <cfRule type="containsText" dxfId="293" priority="56" operator="containsText" text="Assinaturas">
      <formula>NOT(ISERROR(SEARCH("Assinaturas",N8)))</formula>
    </cfRule>
    <cfRule type="containsText" dxfId="292" priority="57" operator="containsText" text="Uber transporte">
      <formula>NOT(ISERROR(SEARCH("Uber transporte",N8)))</formula>
    </cfRule>
    <cfRule type="containsText" dxfId="291" priority="58" operator="containsText" text="iFood/restaurante">
      <formula>NOT(ISERROR(SEARCH("iFood/restaurante",N8)))</formula>
    </cfRule>
    <cfRule type="containsText" dxfId="290" priority="59" operator="containsText" text="Comida faculdade">
      <formula>NOT(ISERROR(SEARCH("Comida faculdade",N8)))</formula>
    </cfRule>
    <cfRule type="containsText" dxfId="289" priority="60" operator="containsText" text="Contas">
      <formula>NOT(ISERROR(SEARCH("Contas",N8)))</formula>
    </cfRule>
    <cfRule type="containsText" dxfId="288" priority="61" operator="containsText" text="Outros">
      <formula>NOT(ISERROR(SEARCH("Outros",N8)))</formula>
    </cfRule>
  </conditionalFormatting>
  <conditionalFormatting sqref="S3">
    <cfRule type="cellIs" dxfId="287" priority="85" operator="greaterThanOrEqual">
      <formula>0</formula>
    </cfRule>
    <cfRule type="cellIs" dxfId="286" priority="86" operator="lessThan">
      <formula>0</formula>
    </cfRule>
  </conditionalFormatting>
  <conditionalFormatting sqref="U5:U20">
    <cfRule type="containsText" dxfId="285" priority="66" operator="containsText" text="Necessidades">
      <formula>NOT(ISERROR(SEARCH("Necessidades",U5)))</formula>
    </cfRule>
    <cfRule type="containsText" dxfId="284" priority="67" operator="containsText" text="Roupa">
      <formula>NOT(ISERROR(SEARCH("Roupa",U5)))</formula>
    </cfRule>
    <cfRule type="containsText" dxfId="283" priority="68" operator="containsText" text="Saúde">
      <formula>NOT(ISERROR(SEARCH("Saúde",U5)))</formula>
    </cfRule>
    <cfRule type="containsText" dxfId="282" priority="69" operator="containsText" text="Presentes">
      <formula>NOT(ISERROR(SEARCH("Presentes",U5)))</formula>
    </cfRule>
    <cfRule type="containsText" dxfId="281" priority="70" operator="containsText" text="Beleza">
      <formula>NOT(ISERROR(SEARCH("Beleza",U5)))</formula>
    </cfRule>
    <cfRule type="containsText" dxfId="280" priority="71" operator="containsText" text="Desenvolvimento">
      <formula>NOT(ISERROR(SEARCH("Desenvolvimento",U5)))</formula>
    </cfRule>
    <cfRule type="containsText" dxfId="279" priority="72" operator="containsText" text="Lazer">
      <formula>NOT(ISERROR(SEARCH("Lazer",U5)))</formula>
    </cfRule>
    <cfRule type="containsText" dxfId="278" priority="73" operator="containsText" text="Eletrônicos">
      <formula>NOT(ISERROR(SEARCH("Eletrônicos",U5)))</formula>
    </cfRule>
    <cfRule type="containsText" dxfId="277" priority="74" operator="containsText" text="Assinaturas">
      <formula>NOT(ISERROR(SEARCH("Assinaturas",U5)))</formula>
    </cfRule>
    <cfRule type="containsText" dxfId="276" priority="75" operator="containsText" text="Uber transporte">
      <formula>NOT(ISERROR(SEARCH("Uber transporte",U5)))</formula>
    </cfRule>
    <cfRule type="containsText" dxfId="275" priority="76" operator="containsText" text="iFood/restaurante">
      <formula>NOT(ISERROR(SEARCH("iFood/restaurante",U5)))</formula>
    </cfRule>
    <cfRule type="containsText" dxfId="274" priority="77" operator="containsText" text="Comida faculdade">
      <formula>NOT(ISERROR(SEARCH("Comida faculdade",U5)))</formula>
    </cfRule>
    <cfRule type="containsText" dxfId="273" priority="78" operator="containsText" text="Contas">
      <formula>NOT(ISERROR(SEARCH("Contas",U5)))</formula>
    </cfRule>
    <cfRule type="containsText" dxfId="272" priority="79" operator="containsText" text="Outros">
      <formula>NOT(ISERROR(SEARCH("Outros",U5)))</formula>
    </cfRule>
    <cfRule type="containsText" dxfId="271" priority="64" operator="containsText" text="Mercado">
      <formula>NOT(ISERROR(SEARCH("Mercado",U5)))</formula>
    </cfRule>
    <cfRule type="containsText" dxfId="270" priority="65" operator="containsText" text="Despesas eventuais">
      <formula>NOT(ISERROR(SEARCH("Despesas eventuais",U5)))</formula>
    </cfRule>
  </conditionalFormatting>
  <conditionalFormatting sqref="U24:U27">
    <cfRule type="containsText" dxfId="269" priority="82" operator="containsText" text="Inter">
      <formula>NOT(ISERROR(SEARCH("Inter",U24)))</formula>
    </cfRule>
    <cfRule type="containsText" dxfId="268" priority="83" operator="containsText" text="Itaú">
      <formula>NOT(ISERROR(SEARCH("Itaú",U24)))</formula>
    </cfRule>
    <cfRule type="containsText" dxfId="267" priority="80" operator="containsText" text="Débito">
      <formula>NOT(ISERROR(SEARCH("Débito",U24)))</formula>
    </cfRule>
    <cfRule type="containsText" dxfId="266" priority="81" operator="containsText" text="Nubank">
      <formula>NOT(ISERROR(SEARCH("Nubank",U24)))</formula>
    </cfRule>
  </conditionalFormatting>
  <conditionalFormatting sqref="W5:W20">
    <cfRule type="expression" dxfId="265" priority="87">
      <formula>AND($V5&gt;0,W5&gt;$V5)</formula>
    </cfRule>
  </conditionalFormatting>
  <conditionalFormatting sqref="X5:X20">
    <cfRule type="expression" dxfId="264" priority="88">
      <formula>AND($V5&gt;0,W5&gt;$V5)</formula>
    </cfRule>
  </conditionalFormatting>
  <conditionalFormatting sqref="X24:X27">
    <cfRule type="containsText" dxfId="263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8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8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8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98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262" priority="63" operator="containsText" text="☐">
      <formula>NOT(ISERROR(SEARCH("☐",D11)))</formula>
    </cfRule>
    <cfRule type="containsText" dxfId="261" priority="62" operator="containsText" text="☑">
      <formula>NOT(ISERROR(SEARCH("☑",D11)))</formula>
    </cfRule>
  </conditionalFormatting>
  <conditionalFormatting sqref="F11:F18">
    <cfRule type="containsText" dxfId="260" priority="2" operator="containsText" text="Débito">
      <formula>NOT(ISERROR(SEARCH("Débito",F11)))</formula>
    </cfRule>
    <cfRule type="containsText" dxfId="259" priority="3" operator="containsText" text="Nubank">
      <formula>NOT(ISERROR(SEARCH("Nubank",F11)))</formula>
    </cfRule>
    <cfRule type="containsText" dxfId="258" priority="4" operator="containsText" text="Inter">
      <formula>NOT(ISERROR(SEARCH("Inter",F11)))</formula>
    </cfRule>
    <cfRule type="containsText" dxfId="257" priority="5" operator="containsText" text="Itaú">
      <formula>NOT(ISERROR(SEARCH("Itaú",F11)))</formula>
    </cfRule>
  </conditionalFormatting>
  <conditionalFormatting sqref="F24:F35">
    <cfRule type="containsText" dxfId="256" priority="6" operator="containsText" text="Débito">
      <formula>NOT(ISERROR(SEARCH("Débito",F24)))</formula>
    </cfRule>
    <cfRule type="containsText" dxfId="255" priority="7" operator="containsText" text="Nubank">
      <formula>NOT(ISERROR(SEARCH("Nubank",F24)))</formula>
    </cfRule>
    <cfRule type="containsText" dxfId="254" priority="8" operator="containsText" text="Inter">
      <formula>NOT(ISERROR(SEARCH("Inter",F24)))</formula>
    </cfRule>
    <cfRule type="containsText" dxfId="253" priority="9" operator="containsText" text="Itaú">
      <formula>NOT(ISERROR(SEARCH("Itaú",F24)))</formula>
    </cfRule>
  </conditionalFormatting>
  <conditionalFormatting sqref="G11:G18">
    <cfRule type="containsText" dxfId="252" priority="28" operator="containsText" text="Contas">
      <formula>NOT(ISERROR(SEARCH("Contas",G11)))</formula>
    </cfRule>
    <cfRule type="containsText" dxfId="251" priority="29" operator="containsText" text="Outros">
      <formula>NOT(ISERROR(SEARCH("Outros",G11)))</formula>
    </cfRule>
    <cfRule type="containsText" dxfId="250" priority="22" operator="containsText" text="Lazer">
      <formula>NOT(ISERROR(SEARCH("Lazer",G11)))</formula>
    </cfRule>
    <cfRule type="containsText" dxfId="249" priority="14" operator="containsText" text="Mercado">
      <formula>NOT(ISERROR(SEARCH("Mercado",G11)))</formula>
    </cfRule>
    <cfRule type="containsText" dxfId="248" priority="15" operator="containsText" text="Despesas eventuais">
      <formula>NOT(ISERROR(SEARCH("Despesas eventuais",G11)))</formula>
    </cfRule>
    <cfRule type="containsText" dxfId="247" priority="16" operator="containsText" text="Necessidades">
      <formula>NOT(ISERROR(SEARCH("Necessidades",G11)))</formula>
    </cfRule>
    <cfRule type="containsText" dxfId="246" priority="17" operator="containsText" text="Roupa">
      <formula>NOT(ISERROR(SEARCH("Roupa",G11)))</formula>
    </cfRule>
    <cfRule type="containsText" dxfId="245" priority="18" operator="containsText" text="Saúde">
      <formula>NOT(ISERROR(SEARCH("Saúde",G11)))</formula>
    </cfRule>
    <cfRule type="containsText" dxfId="244" priority="19" operator="containsText" text="Presentes">
      <formula>NOT(ISERROR(SEARCH("Presentes",G11)))</formula>
    </cfRule>
    <cfRule type="containsText" dxfId="243" priority="20" operator="containsText" text="Beleza">
      <formula>NOT(ISERROR(SEARCH("Beleza",G11)))</formula>
    </cfRule>
    <cfRule type="containsText" dxfId="242" priority="21" operator="containsText" text="Desenvolvimento">
      <formula>NOT(ISERROR(SEARCH("Desenvolvimento",G11)))</formula>
    </cfRule>
    <cfRule type="containsText" dxfId="241" priority="23" operator="containsText" text="Eletrônicos">
      <formula>NOT(ISERROR(SEARCH("Eletrônicos",G11)))</formula>
    </cfRule>
    <cfRule type="containsText" dxfId="240" priority="24" operator="containsText" text="Assinaturas">
      <formula>NOT(ISERROR(SEARCH("Assinaturas",G11)))</formula>
    </cfRule>
    <cfRule type="containsText" dxfId="239" priority="25" operator="containsText" text="Uber transporte">
      <formula>NOT(ISERROR(SEARCH("Uber transporte",G11)))</formula>
    </cfRule>
    <cfRule type="containsText" dxfId="238" priority="26" operator="containsText" text="iFood/restaurante">
      <formula>NOT(ISERROR(SEARCH("iFood/restaurante",G11)))</formula>
    </cfRule>
    <cfRule type="containsText" dxfId="237" priority="27" operator="containsText" text="Comida faculdade">
      <formula>NOT(ISERROR(SEARCH("Comida faculdade",G11)))</formula>
    </cfRule>
  </conditionalFormatting>
  <conditionalFormatting sqref="G24:G35">
    <cfRule type="containsText" dxfId="236" priority="44" operator="containsText" text="Contas">
      <formula>NOT(ISERROR(SEARCH("Contas",G24)))</formula>
    </cfRule>
    <cfRule type="containsText" dxfId="235" priority="45" operator="containsText" text="Outros">
      <formula>NOT(ISERROR(SEARCH("Outros",G24)))</formula>
    </cfRule>
    <cfRule type="containsText" dxfId="234" priority="30" operator="containsText" text="Mercado">
      <formula>NOT(ISERROR(SEARCH("Mercado",G24)))</formula>
    </cfRule>
    <cfRule type="containsText" dxfId="233" priority="31" operator="containsText" text="Despesas eventuais">
      <formula>NOT(ISERROR(SEARCH("Despesas eventuais",G24)))</formula>
    </cfRule>
    <cfRule type="containsText" dxfId="232" priority="32" operator="containsText" text="Necessidades">
      <formula>NOT(ISERROR(SEARCH("Necessidades",G24)))</formula>
    </cfRule>
    <cfRule type="containsText" dxfId="231" priority="33" operator="containsText" text="Roupa">
      <formula>NOT(ISERROR(SEARCH("Roupa",G24)))</formula>
    </cfRule>
    <cfRule type="containsText" dxfId="230" priority="34" operator="containsText" text="Saúde">
      <formula>NOT(ISERROR(SEARCH("Saúde",G24)))</formula>
    </cfRule>
    <cfRule type="containsText" dxfId="229" priority="35" operator="containsText" text="Presentes">
      <formula>NOT(ISERROR(SEARCH("Presentes",G24)))</formula>
    </cfRule>
    <cfRule type="containsText" dxfId="228" priority="36" operator="containsText" text="Beleza">
      <formula>NOT(ISERROR(SEARCH("Beleza",G24)))</formula>
    </cfRule>
    <cfRule type="containsText" dxfId="227" priority="37" operator="containsText" text="Desenvolvimento">
      <formula>NOT(ISERROR(SEARCH("Desenvolvimento",G24)))</formula>
    </cfRule>
    <cfRule type="containsText" dxfId="226" priority="38" operator="containsText" text="Lazer">
      <formula>NOT(ISERROR(SEARCH("Lazer",G24)))</formula>
    </cfRule>
    <cfRule type="containsText" dxfId="225" priority="39" operator="containsText" text="Eletrônicos">
      <formula>NOT(ISERROR(SEARCH("Eletrônicos",G24)))</formula>
    </cfRule>
    <cfRule type="containsText" dxfId="224" priority="40" operator="containsText" text="Assinaturas">
      <formula>NOT(ISERROR(SEARCH("Assinaturas",G24)))</formula>
    </cfRule>
    <cfRule type="containsText" dxfId="223" priority="41" operator="containsText" text="Uber transporte">
      <formula>NOT(ISERROR(SEARCH("Uber transporte",G24)))</formula>
    </cfRule>
    <cfRule type="containsText" dxfId="222" priority="42" operator="containsText" text="iFood/restaurante">
      <formula>NOT(ISERROR(SEARCH("iFood/restaurante",G24)))</formula>
    </cfRule>
    <cfRule type="containsText" dxfId="221" priority="43" operator="containsText" text="Comida faculdade">
      <formula>NOT(ISERROR(SEARCH("Comida faculdade",G24)))</formula>
    </cfRule>
  </conditionalFormatting>
  <conditionalFormatting sqref="M8:M35">
    <cfRule type="containsText" dxfId="220" priority="10" operator="containsText" text="Débito">
      <formula>NOT(ISERROR(SEARCH("Débito",M8)))</formula>
    </cfRule>
    <cfRule type="containsText" dxfId="219" priority="11" operator="containsText" text="Nubank">
      <formula>NOT(ISERROR(SEARCH("Nubank",M8)))</formula>
    </cfRule>
    <cfRule type="containsText" dxfId="218" priority="12" operator="containsText" text="Inter">
      <formula>NOT(ISERROR(SEARCH("Inter",M8)))</formula>
    </cfRule>
    <cfRule type="containsText" dxfId="217" priority="13" operator="containsText" text="Itaú">
      <formula>NOT(ISERROR(SEARCH("Itaú",M8)))</formula>
    </cfRule>
  </conditionalFormatting>
  <conditionalFormatting sqref="N8:O35">
    <cfRule type="containsText" dxfId="216" priority="46" operator="containsText" text="Mercado">
      <formula>NOT(ISERROR(SEARCH("Mercado",N8)))</formula>
    </cfRule>
    <cfRule type="containsText" dxfId="215" priority="47" operator="containsText" text="Despesas eventuais">
      <formula>NOT(ISERROR(SEARCH("Despesas eventuais",N8)))</formula>
    </cfRule>
    <cfRule type="containsText" dxfId="214" priority="48" operator="containsText" text="Necessidades">
      <formula>NOT(ISERROR(SEARCH("Necessidades",N8)))</formula>
    </cfRule>
    <cfRule type="containsText" dxfId="213" priority="49" operator="containsText" text="Roupa">
      <formula>NOT(ISERROR(SEARCH("Roupa",N8)))</formula>
    </cfRule>
    <cfRule type="containsText" dxfId="212" priority="50" operator="containsText" text="Saúde">
      <formula>NOT(ISERROR(SEARCH("Saúde",N8)))</formula>
    </cfRule>
    <cfRule type="containsText" dxfId="211" priority="51" operator="containsText" text="Presentes">
      <formula>NOT(ISERROR(SEARCH("Presentes",N8)))</formula>
    </cfRule>
    <cfRule type="containsText" dxfId="210" priority="52" operator="containsText" text="Beleza">
      <formula>NOT(ISERROR(SEARCH("Beleza",N8)))</formula>
    </cfRule>
    <cfRule type="containsText" dxfId="209" priority="53" operator="containsText" text="Desenvolvimento">
      <formula>NOT(ISERROR(SEARCH("Desenvolvimento",N8)))</formula>
    </cfRule>
    <cfRule type="containsText" dxfId="208" priority="54" operator="containsText" text="Lazer">
      <formula>NOT(ISERROR(SEARCH("Lazer",N8)))</formula>
    </cfRule>
    <cfRule type="containsText" dxfId="207" priority="55" operator="containsText" text="Eletrônicos">
      <formula>NOT(ISERROR(SEARCH("Eletrônicos",N8)))</formula>
    </cfRule>
    <cfRule type="containsText" dxfId="206" priority="56" operator="containsText" text="Assinaturas">
      <formula>NOT(ISERROR(SEARCH("Assinaturas",N8)))</formula>
    </cfRule>
    <cfRule type="containsText" dxfId="205" priority="57" operator="containsText" text="Uber transporte">
      <formula>NOT(ISERROR(SEARCH("Uber transporte",N8)))</formula>
    </cfRule>
    <cfRule type="containsText" dxfId="204" priority="58" operator="containsText" text="iFood/restaurante">
      <formula>NOT(ISERROR(SEARCH("iFood/restaurante",N8)))</formula>
    </cfRule>
    <cfRule type="containsText" dxfId="203" priority="59" operator="containsText" text="Comida faculdade">
      <formula>NOT(ISERROR(SEARCH("Comida faculdade",N8)))</formula>
    </cfRule>
    <cfRule type="containsText" dxfId="202" priority="60" operator="containsText" text="Contas">
      <formula>NOT(ISERROR(SEARCH("Contas",N8)))</formula>
    </cfRule>
    <cfRule type="containsText" dxfId="201" priority="61" operator="containsText" text="Outros">
      <formula>NOT(ISERROR(SEARCH("Outros",N8)))</formula>
    </cfRule>
  </conditionalFormatting>
  <conditionalFormatting sqref="S3">
    <cfRule type="cellIs" dxfId="200" priority="85" operator="greaterThanOrEqual">
      <formula>0</formula>
    </cfRule>
    <cfRule type="cellIs" dxfId="199" priority="86" operator="lessThan">
      <formula>0</formula>
    </cfRule>
  </conditionalFormatting>
  <conditionalFormatting sqref="U5:U20">
    <cfRule type="containsText" dxfId="198" priority="66" operator="containsText" text="Necessidades">
      <formula>NOT(ISERROR(SEARCH("Necessidades",U5)))</formula>
    </cfRule>
    <cfRule type="containsText" dxfId="197" priority="67" operator="containsText" text="Roupa">
      <formula>NOT(ISERROR(SEARCH("Roupa",U5)))</formula>
    </cfRule>
    <cfRule type="containsText" dxfId="196" priority="68" operator="containsText" text="Saúde">
      <formula>NOT(ISERROR(SEARCH("Saúde",U5)))</formula>
    </cfRule>
    <cfRule type="containsText" dxfId="195" priority="69" operator="containsText" text="Presentes">
      <formula>NOT(ISERROR(SEARCH("Presentes",U5)))</formula>
    </cfRule>
    <cfRule type="containsText" dxfId="194" priority="70" operator="containsText" text="Beleza">
      <formula>NOT(ISERROR(SEARCH("Beleza",U5)))</formula>
    </cfRule>
    <cfRule type="containsText" dxfId="193" priority="71" operator="containsText" text="Desenvolvimento">
      <formula>NOT(ISERROR(SEARCH("Desenvolvimento",U5)))</formula>
    </cfRule>
    <cfRule type="containsText" dxfId="192" priority="72" operator="containsText" text="Lazer">
      <formula>NOT(ISERROR(SEARCH("Lazer",U5)))</formula>
    </cfRule>
    <cfRule type="containsText" dxfId="191" priority="73" operator="containsText" text="Eletrônicos">
      <formula>NOT(ISERROR(SEARCH("Eletrônicos",U5)))</formula>
    </cfRule>
    <cfRule type="containsText" dxfId="190" priority="74" operator="containsText" text="Assinaturas">
      <formula>NOT(ISERROR(SEARCH("Assinaturas",U5)))</formula>
    </cfRule>
    <cfRule type="containsText" dxfId="189" priority="75" operator="containsText" text="Uber transporte">
      <formula>NOT(ISERROR(SEARCH("Uber transporte",U5)))</formula>
    </cfRule>
    <cfRule type="containsText" dxfId="188" priority="76" operator="containsText" text="iFood/restaurante">
      <formula>NOT(ISERROR(SEARCH("iFood/restaurante",U5)))</formula>
    </cfRule>
    <cfRule type="containsText" dxfId="187" priority="77" operator="containsText" text="Comida faculdade">
      <formula>NOT(ISERROR(SEARCH("Comida faculdade",U5)))</formula>
    </cfRule>
    <cfRule type="containsText" dxfId="186" priority="78" operator="containsText" text="Contas">
      <formula>NOT(ISERROR(SEARCH("Contas",U5)))</formula>
    </cfRule>
    <cfRule type="containsText" dxfId="185" priority="79" operator="containsText" text="Outros">
      <formula>NOT(ISERROR(SEARCH("Outros",U5)))</formula>
    </cfRule>
    <cfRule type="containsText" dxfId="184" priority="64" operator="containsText" text="Mercado">
      <formula>NOT(ISERROR(SEARCH("Mercado",U5)))</formula>
    </cfRule>
    <cfRule type="containsText" dxfId="183" priority="65" operator="containsText" text="Despesas eventuais">
      <formula>NOT(ISERROR(SEARCH("Despesas eventuais",U5)))</formula>
    </cfRule>
  </conditionalFormatting>
  <conditionalFormatting sqref="U24:U27">
    <cfRule type="containsText" dxfId="182" priority="82" operator="containsText" text="Inter">
      <formula>NOT(ISERROR(SEARCH("Inter",U24)))</formula>
    </cfRule>
    <cfRule type="containsText" dxfId="181" priority="83" operator="containsText" text="Itaú">
      <formula>NOT(ISERROR(SEARCH("Itaú",U24)))</formula>
    </cfRule>
    <cfRule type="containsText" dxfId="180" priority="80" operator="containsText" text="Débito">
      <formula>NOT(ISERROR(SEARCH("Débito",U24)))</formula>
    </cfRule>
    <cfRule type="containsText" dxfId="179" priority="81" operator="containsText" text="Nubank">
      <formula>NOT(ISERROR(SEARCH("Nubank",U24)))</formula>
    </cfRule>
  </conditionalFormatting>
  <conditionalFormatting sqref="W5:W20">
    <cfRule type="expression" dxfId="178" priority="87">
      <formula>AND($V5&gt;0,W5&gt;$V5)</formula>
    </cfRule>
  </conditionalFormatting>
  <conditionalFormatting sqref="X5:X20">
    <cfRule type="expression" dxfId="177" priority="88">
      <formula>AND($V5&gt;0,W5&gt;$V5)</formula>
    </cfRule>
  </conditionalFormatting>
  <conditionalFormatting sqref="X24:X27">
    <cfRule type="containsText" dxfId="176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9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9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9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99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175" priority="63" operator="containsText" text="☐">
      <formula>NOT(ISERROR(SEARCH("☐",D11)))</formula>
    </cfRule>
    <cfRule type="containsText" dxfId="174" priority="62" operator="containsText" text="☑">
      <formula>NOT(ISERROR(SEARCH("☑",D11)))</formula>
    </cfRule>
  </conditionalFormatting>
  <conditionalFormatting sqref="F11:F18">
    <cfRule type="containsText" dxfId="173" priority="2" operator="containsText" text="Débito">
      <formula>NOT(ISERROR(SEARCH("Débito",F11)))</formula>
    </cfRule>
    <cfRule type="containsText" dxfId="172" priority="3" operator="containsText" text="Nubank">
      <formula>NOT(ISERROR(SEARCH("Nubank",F11)))</formula>
    </cfRule>
    <cfRule type="containsText" dxfId="171" priority="4" operator="containsText" text="Inter">
      <formula>NOT(ISERROR(SEARCH("Inter",F11)))</formula>
    </cfRule>
    <cfRule type="containsText" dxfId="170" priority="5" operator="containsText" text="Itaú">
      <formula>NOT(ISERROR(SEARCH("Itaú",F11)))</formula>
    </cfRule>
  </conditionalFormatting>
  <conditionalFormatting sqref="F24:F35">
    <cfRule type="containsText" dxfId="169" priority="6" operator="containsText" text="Débito">
      <formula>NOT(ISERROR(SEARCH("Débito",F24)))</formula>
    </cfRule>
    <cfRule type="containsText" dxfId="168" priority="7" operator="containsText" text="Nubank">
      <formula>NOT(ISERROR(SEARCH("Nubank",F24)))</formula>
    </cfRule>
    <cfRule type="containsText" dxfId="167" priority="8" operator="containsText" text="Inter">
      <formula>NOT(ISERROR(SEARCH("Inter",F24)))</formula>
    </cfRule>
    <cfRule type="containsText" dxfId="166" priority="9" operator="containsText" text="Itaú">
      <formula>NOT(ISERROR(SEARCH("Itaú",F24)))</formula>
    </cfRule>
  </conditionalFormatting>
  <conditionalFormatting sqref="G11:G18">
    <cfRule type="containsText" dxfId="165" priority="28" operator="containsText" text="Contas">
      <formula>NOT(ISERROR(SEARCH("Contas",G11)))</formula>
    </cfRule>
    <cfRule type="containsText" dxfId="164" priority="29" operator="containsText" text="Outros">
      <formula>NOT(ISERROR(SEARCH("Outros",G11)))</formula>
    </cfRule>
    <cfRule type="containsText" dxfId="163" priority="22" operator="containsText" text="Lazer">
      <formula>NOT(ISERROR(SEARCH("Lazer",G11)))</formula>
    </cfRule>
    <cfRule type="containsText" dxfId="162" priority="14" operator="containsText" text="Mercado">
      <formula>NOT(ISERROR(SEARCH("Mercado",G11)))</formula>
    </cfRule>
    <cfRule type="containsText" dxfId="161" priority="15" operator="containsText" text="Despesas eventuais">
      <formula>NOT(ISERROR(SEARCH("Despesas eventuais",G11)))</formula>
    </cfRule>
    <cfRule type="containsText" dxfId="160" priority="16" operator="containsText" text="Necessidades">
      <formula>NOT(ISERROR(SEARCH("Necessidades",G11)))</formula>
    </cfRule>
    <cfRule type="containsText" dxfId="159" priority="17" operator="containsText" text="Roupa">
      <formula>NOT(ISERROR(SEARCH("Roupa",G11)))</formula>
    </cfRule>
    <cfRule type="containsText" dxfId="158" priority="18" operator="containsText" text="Saúde">
      <formula>NOT(ISERROR(SEARCH("Saúde",G11)))</formula>
    </cfRule>
    <cfRule type="containsText" dxfId="157" priority="19" operator="containsText" text="Presentes">
      <formula>NOT(ISERROR(SEARCH("Presentes",G11)))</formula>
    </cfRule>
    <cfRule type="containsText" dxfId="156" priority="20" operator="containsText" text="Beleza">
      <formula>NOT(ISERROR(SEARCH("Beleza",G11)))</formula>
    </cfRule>
    <cfRule type="containsText" dxfId="155" priority="21" operator="containsText" text="Desenvolvimento">
      <formula>NOT(ISERROR(SEARCH("Desenvolvimento",G11)))</formula>
    </cfRule>
    <cfRule type="containsText" dxfId="154" priority="23" operator="containsText" text="Eletrônicos">
      <formula>NOT(ISERROR(SEARCH("Eletrônicos",G11)))</formula>
    </cfRule>
    <cfRule type="containsText" dxfId="153" priority="24" operator="containsText" text="Assinaturas">
      <formula>NOT(ISERROR(SEARCH("Assinaturas",G11)))</formula>
    </cfRule>
    <cfRule type="containsText" dxfId="152" priority="25" operator="containsText" text="Uber transporte">
      <formula>NOT(ISERROR(SEARCH("Uber transporte",G11)))</formula>
    </cfRule>
    <cfRule type="containsText" dxfId="151" priority="26" operator="containsText" text="iFood/restaurante">
      <formula>NOT(ISERROR(SEARCH("iFood/restaurante",G11)))</formula>
    </cfRule>
    <cfRule type="containsText" dxfId="150" priority="27" operator="containsText" text="Comida faculdade">
      <formula>NOT(ISERROR(SEARCH("Comida faculdade",G11)))</formula>
    </cfRule>
  </conditionalFormatting>
  <conditionalFormatting sqref="G24:G35">
    <cfRule type="containsText" dxfId="149" priority="44" operator="containsText" text="Contas">
      <formula>NOT(ISERROR(SEARCH("Contas",G24)))</formula>
    </cfRule>
    <cfRule type="containsText" dxfId="148" priority="45" operator="containsText" text="Outros">
      <formula>NOT(ISERROR(SEARCH("Outros",G24)))</formula>
    </cfRule>
    <cfRule type="containsText" dxfId="147" priority="30" operator="containsText" text="Mercado">
      <formula>NOT(ISERROR(SEARCH("Mercado",G24)))</formula>
    </cfRule>
    <cfRule type="containsText" dxfId="146" priority="31" operator="containsText" text="Despesas eventuais">
      <formula>NOT(ISERROR(SEARCH("Despesas eventuais",G24)))</formula>
    </cfRule>
    <cfRule type="containsText" dxfId="145" priority="32" operator="containsText" text="Necessidades">
      <formula>NOT(ISERROR(SEARCH("Necessidades",G24)))</formula>
    </cfRule>
    <cfRule type="containsText" dxfId="144" priority="33" operator="containsText" text="Roupa">
      <formula>NOT(ISERROR(SEARCH("Roupa",G24)))</formula>
    </cfRule>
    <cfRule type="containsText" dxfId="143" priority="34" operator="containsText" text="Saúde">
      <formula>NOT(ISERROR(SEARCH("Saúde",G24)))</formula>
    </cfRule>
    <cfRule type="containsText" dxfId="142" priority="35" operator="containsText" text="Presentes">
      <formula>NOT(ISERROR(SEARCH("Presentes",G24)))</formula>
    </cfRule>
    <cfRule type="containsText" dxfId="141" priority="36" operator="containsText" text="Beleza">
      <formula>NOT(ISERROR(SEARCH("Beleza",G24)))</formula>
    </cfRule>
    <cfRule type="containsText" dxfId="140" priority="37" operator="containsText" text="Desenvolvimento">
      <formula>NOT(ISERROR(SEARCH("Desenvolvimento",G24)))</formula>
    </cfRule>
    <cfRule type="containsText" dxfId="139" priority="38" operator="containsText" text="Lazer">
      <formula>NOT(ISERROR(SEARCH("Lazer",G24)))</formula>
    </cfRule>
    <cfRule type="containsText" dxfId="138" priority="39" operator="containsText" text="Eletrônicos">
      <formula>NOT(ISERROR(SEARCH("Eletrônicos",G24)))</formula>
    </cfRule>
    <cfRule type="containsText" dxfId="137" priority="40" operator="containsText" text="Assinaturas">
      <formula>NOT(ISERROR(SEARCH("Assinaturas",G24)))</formula>
    </cfRule>
    <cfRule type="containsText" dxfId="136" priority="41" operator="containsText" text="Uber transporte">
      <formula>NOT(ISERROR(SEARCH("Uber transporte",G24)))</formula>
    </cfRule>
    <cfRule type="containsText" dxfId="135" priority="42" operator="containsText" text="iFood/restaurante">
      <formula>NOT(ISERROR(SEARCH("iFood/restaurante",G24)))</formula>
    </cfRule>
    <cfRule type="containsText" dxfId="134" priority="43" operator="containsText" text="Comida faculdade">
      <formula>NOT(ISERROR(SEARCH("Comida faculdade",G24)))</formula>
    </cfRule>
  </conditionalFormatting>
  <conditionalFormatting sqref="M8:M35">
    <cfRule type="containsText" dxfId="133" priority="10" operator="containsText" text="Débito">
      <formula>NOT(ISERROR(SEARCH("Débito",M8)))</formula>
    </cfRule>
    <cfRule type="containsText" dxfId="132" priority="11" operator="containsText" text="Nubank">
      <formula>NOT(ISERROR(SEARCH("Nubank",M8)))</formula>
    </cfRule>
    <cfRule type="containsText" dxfId="131" priority="12" operator="containsText" text="Inter">
      <formula>NOT(ISERROR(SEARCH("Inter",M8)))</formula>
    </cfRule>
    <cfRule type="containsText" dxfId="130" priority="13" operator="containsText" text="Itaú">
      <formula>NOT(ISERROR(SEARCH("Itaú",M8)))</formula>
    </cfRule>
  </conditionalFormatting>
  <conditionalFormatting sqref="N8:O35">
    <cfRule type="containsText" dxfId="129" priority="46" operator="containsText" text="Mercado">
      <formula>NOT(ISERROR(SEARCH("Mercado",N8)))</formula>
    </cfRule>
    <cfRule type="containsText" dxfId="128" priority="47" operator="containsText" text="Despesas eventuais">
      <formula>NOT(ISERROR(SEARCH("Despesas eventuais",N8)))</formula>
    </cfRule>
    <cfRule type="containsText" dxfId="127" priority="48" operator="containsText" text="Necessidades">
      <formula>NOT(ISERROR(SEARCH("Necessidades",N8)))</formula>
    </cfRule>
    <cfRule type="containsText" dxfId="126" priority="49" operator="containsText" text="Roupa">
      <formula>NOT(ISERROR(SEARCH("Roupa",N8)))</formula>
    </cfRule>
    <cfRule type="containsText" dxfId="125" priority="50" operator="containsText" text="Saúde">
      <formula>NOT(ISERROR(SEARCH("Saúde",N8)))</formula>
    </cfRule>
    <cfRule type="containsText" dxfId="124" priority="51" operator="containsText" text="Presentes">
      <formula>NOT(ISERROR(SEARCH("Presentes",N8)))</formula>
    </cfRule>
    <cfRule type="containsText" dxfId="123" priority="52" operator="containsText" text="Beleza">
      <formula>NOT(ISERROR(SEARCH("Beleza",N8)))</formula>
    </cfRule>
    <cfRule type="containsText" dxfId="122" priority="53" operator="containsText" text="Desenvolvimento">
      <formula>NOT(ISERROR(SEARCH("Desenvolvimento",N8)))</formula>
    </cfRule>
    <cfRule type="containsText" dxfId="121" priority="54" operator="containsText" text="Lazer">
      <formula>NOT(ISERROR(SEARCH("Lazer",N8)))</formula>
    </cfRule>
    <cfRule type="containsText" dxfId="120" priority="55" operator="containsText" text="Eletrônicos">
      <formula>NOT(ISERROR(SEARCH("Eletrônicos",N8)))</formula>
    </cfRule>
    <cfRule type="containsText" dxfId="119" priority="56" operator="containsText" text="Assinaturas">
      <formula>NOT(ISERROR(SEARCH("Assinaturas",N8)))</formula>
    </cfRule>
    <cfRule type="containsText" dxfId="118" priority="57" operator="containsText" text="Uber transporte">
      <formula>NOT(ISERROR(SEARCH("Uber transporte",N8)))</formula>
    </cfRule>
    <cfRule type="containsText" dxfId="117" priority="58" operator="containsText" text="iFood/restaurante">
      <formula>NOT(ISERROR(SEARCH("iFood/restaurante",N8)))</formula>
    </cfRule>
    <cfRule type="containsText" dxfId="116" priority="59" operator="containsText" text="Comida faculdade">
      <formula>NOT(ISERROR(SEARCH("Comida faculdade",N8)))</formula>
    </cfRule>
    <cfRule type="containsText" dxfId="115" priority="60" operator="containsText" text="Contas">
      <formula>NOT(ISERROR(SEARCH("Contas",N8)))</formula>
    </cfRule>
    <cfRule type="containsText" dxfId="114" priority="61" operator="containsText" text="Outros">
      <formula>NOT(ISERROR(SEARCH("Outros",N8)))</formula>
    </cfRule>
  </conditionalFormatting>
  <conditionalFormatting sqref="S3">
    <cfRule type="cellIs" dxfId="113" priority="85" operator="greaterThanOrEqual">
      <formula>0</formula>
    </cfRule>
    <cfRule type="cellIs" dxfId="112" priority="86" operator="lessThan">
      <formula>0</formula>
    </cfRule>
  </conditionalFormatting>
  <conditionalFormatting sqref="U5:U20">
    <cfRule type="containsText" dxfId="111" priority="66" operator="containsText" text="Necessidades">
      <formula>NOT(ISERROR(SEARCH("Necessidades",U5)))</formula>
    </cfRule>
    <cfRule type="containsText" dxfId="110" priority="67" operator="containsText" text="Roupa">
      <formula>NOT(ISERROR(SEARCH("Roupa",U5)))</formula>
    </cfRule>
    <cfRule type="containsText" dxfId="109" priority="68" operator="containsText" text="Saúde">
      <formula>NOT(ISERROR(SEARCH("Saúde",U5)))</formula>
    </cfRule>
    <cfRule type="containsText" dxfId="108" priority="69" operator="containsText" text="Presentes">
      <formula>NOT(ISERROR(SEARCH("Presentes",U5)))</formula>
    </cfRule>
    <cfRule type="containsText" dxfId="107" priority="70" operator="containsText" text="Beleza">
      <formula>NOT(ISERROR(SEARCH("Beleza",U5)))</formula>
    </cfRule>
    <cfRule type="containsText" dxfId="106" priority="71" operator="containsText" text="Desenvolvimento">
      <formula>NOT(ISERROR(SEARCH("Desenvolvimento",U5)))</formula>
    </cfRule>
    <cfRule type="containsText" dxfId="105" priority="72" operator="containsText" text="Lazer">
      <formula>NOT(ISERROR(SEARCH("Lazer",U5)))</formula>
    </cfRule>
    <cfRule type="containsText" dxfId="104" priority="73" operator="containsText" text="Eletrônicos">
      <formula>NOT(ISERROR(SEARCH("Eletrônicos",U5)))</formula>
    </cfRule>
    <cfRule type="containsText" dxfId="103" priority="74" operator="containsText" text="Assinaturas">
      <formula>NOT(ISERROR(SEARCH("Assinaturas",U5)))</formula>
    </cfRule>
    <cfRule type="containsText" dxfId="102" priority="75" operator="containsText" text="Uber transporte">
      <formula>NOT(ISERROR(SEARCH("Uber transporte",U5)))</formula>
    </cfRule>
    <cfRule type="containsText" dxfId="101" priority="76" operator="containsText" text="iFood/restaurante">
      <formula>NOT(ISERROR(SEARCH("iFood/restaurante",U5)))</formula>
    </cfRule>
    <cfRule type="containsText" dxfId="100" priority="77" operator="containsText" text="Comida faculdade">
      <formula>NOT(ISERROR(SEARCH("Comida faculdade",U5)))</formula>
    </cfRule>
    <cfRule type="containsText" dxfId="99" priority="78" operator="containsText" text="Contas">
      <formula>NOT(ISERROR(SEARCH("Contas",U5)))</formula>
    </cfRule>
    <cfRule type="containsText" dxfId="98" priority="79" operator="containsText" text="Outros">
      <formula>NOT(ISERROR(SEARCH("Outros",U5)))</formula>
    </cfRule>
    <cfRule type="containsText" dxfId="97" priority="64" operator="containsText" text="Mercado">
      <formula>NOT(ISERROR(SEARCH("Mercado",U5)))</formula>
    </cfRule>
    <cfRule type="containsText" dxfId="96" priority="65" operator="containsText" text="Despesas eventuais">
      <formula>NOT(ISERROR(SEARCH("Despesas eventuais",U5)))</formula>
    </cfRule>
  </conditionalFormatting>
  <conditionalFormatting sqref="U24:U27">
    <cfRule type="containsText" dxfId="95" priority="82" operator="containsText" text="Inter">
      <formula>NOT(ISERROR(SEARCH("Inter",U24)))</formula>
    </cfRule>
    <cfRule type="containsText" dxfId="94" priority="83" operator="containsText" text="Itaú">
      <formula>NOT(ISERROR(SEARCH("Itaú",U24)))</formula>
    </cfRule>
    <cfRule type="containsText" dxfId="93" priority="80" operator="containsText" text="Débito">
      <formula>NOT(ISERROR(SEARCH("Débito",U24)))</formula>
    </cfRule>
    <cfRule type="containsText" dxfId="92" priority="81" operator="containsText" text="Nubank">
      <formula>NOT(ISERROR(SEARCH("Nubank",U24)))</formula>
    </cfRule>
  </conditionalFormatting>
  <conditionalFormatting sqref="W5:W20">
    <cfRule type="expression" dxfId="91" priority="87">
      <formula>AND($V5&gt;0,W5&gt;$V5)</formula>
    </cfRule>
  </conditionalFormatting>
  <conditionalFormatting sqref="X5:X20">
    <cfRule type="expression" dxfId="90" priority="88">
      <formula>AND($V5&gt;0,W5&gt;$V5)</formula>
    </cfRule>
  </conditionalFormatting>
  <conditionalFormatting sqref="X24:X27">
    <cfRule type="containsText" dxfId="89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A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A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A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55"/>
  <sheetViews>
    <sheetView showGridLines="0" zoomScaleNormal="100" workbookViewId="0"/>
  </sheetViews>
  <sheetFormatPr defaultColWidth="8.7109375" defaultRowHeight="15" x14ac:dyDescent="0.25"/>
  <cols>
    <col min="1" max="1" width="1.5703125" customWidth="1"/>
    <col min="2" max="2" width="11.42578125" customWidth="1"/>
    <col min="3" max="3" width="4.42578125" customWidth="1"/>
    <col min="4" max="4" width="5.42578125" customWidth="1"/>
    <col min="5" max="5" width="6.5703125" customWidth="1"/>
    <col min="6" max="6" width="9.7109375" customWidth="1"/>
    <col min="7" max="7" width="12.42578125" customWidth="1"/>
    <col min="8" max="8" width="9.42578125" customWidth="1"/>
    <col min="9" max="9" width="2.28515625" customWidth="1"/>
    <col min="10" max="10" width="11.140625" customWidth="1"/>
    <col min="11" max="11" width="4.85546875" customWidth="1"/>
    <col min="12" max="12" width="6.5703125" customWidth="1"/>
    <col min="13" max="13" width="9.5703125" customWidth="1"/>
    <col min="14" max="14" width="8.28515625" customWidth="1"/>
    <col min="15" max="15" width="6.85546875" customWidth="1"/>
    <col min="16" max="16" width="9.42578125" customWidth="1"/>
    <col min="17" max="17" width="2.28515625" customWidth="1"/>
    <col min="18" max="19" width="10.28515625" customWidth="1"/>
    <col min="20" max="20" width="2.28515625" customWidth="1"/>
    <col min="21" max="21" width="14.5703125" customWidth="1"/>
    <col min="22" max="23" width="9.7109375" customWidth="1"/>
    <col min="25" max="25" width="2.28515625" customWidth="1"/>
    <col min="26" max="26" width="13.85546875" customWidth="1"/>
    <col min="27" max="27" width="10" customWidth="1"/>
  </cols>
  <sheetData>
    <row r="1" spans="1:27" ht="16.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 spans="1:27" ht="21" customHeight="1" x14ac:dyDescent="0.25">
      <c r="A2" s="15"/>
      <c r="B2" s="14" t="s">
        <v>100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5"/>
      <c r="S2" s="15"/>
      <c r="T2" s="15"/>
      <c r="U2" s="15"/>
      <c r="V2" s="15"/>
      <c r="W2" s="15"/>
      <c r="X2" s="15"/>
      <c r="Y2" s="15"/>
      <c r="Z2" s="15" t="s">
        <v>1</v>
      </c>
      <c r="AA2" s="15" t="s">
        <v>2</v>
      </c>
    </row>
    <row r="3" spans="1:27" ht="21" customHeight="1" x14ac:dyDescent="0.25">
      <c r="A3" s="15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3" t="s">
        <v>3</v>
      </c>
      <c r="S3" s="12">
        <f>S10-S18</f>
        <v>0</v>
      </c>
      <c r="T3" s="15"/>
      <c r="U3" s="11" t="s">
        <v>4</v>
      </c>
      <c r="V3" s="11"/>
      <c r="W3" s="11"/>
      <c r="X3" s="11"/>
      <c r="Y3" s="15"/>
      <c r="Z3" s="15" t="str">
        <f t="shared" ref="Z3:Z18" si="0">U5</f>
        <v>Mercado</v>
      </c>
      <c r="AA3" s="16">
        <f t="shared" ref="AA3:AA18" si="1">W5</f>
        <v>0</v>
      </c>
    </row>
    <row r="4" spans="1:27" ht="18" customHeight="1" x14ac:dyDescent="0.25">
      <c r="A4" s="15"/>
      <c r="B4" s="10" t="s">
        <v>5</v>
      </c>
      <c r="C4" s="10"/>
      <c r="D4" s="10"/>
      <c r="E4" s="10"/>
      <c r="F4" s="9">
        <f>F7+F20+N4</f>
        <v>0</v>
      </c>
      <c r="G4" s="9"/>
      <c r="H4" s="9"/>
      <c r="I4" s="15"/>
      <c r="J4" s="8" t="s">
        <v>6</v>
      </c>
      <c r="K4" s="8"/>
      <c r="L4" s="8"/>
      <c r="M4" s="8"/>
      <c r="N4" s="7">
        <f>SUM(P8:P35)</f>
        <v>0</v>
      </c>
      <c r="O4" s="7"/>
      <c r="P4" s="7"/>
      <c r="Q4" s="15"/>
      <c r="R4" s="13"/>
      <c r="S4" s="12"/>
      <c r="T4" s="15"/>
      <c r="U4" s="17" t="s">
        <v>1</v>
      </c>
      <c r="V4" s="18" t="s">
        <v>7</v>
      </c>
      <c r="W4" s="18" t="s">
        <v>2</v>
      </c>
      <c r="X4" s="19" t="s">
        <v>8</v>
      </c>
      <c r="Y4" s="15"/>
      <c r="Z4" s="15" t="str">
        <f t="shared" si="0"/>
        <v>Despesas eventuais</v>
      </c>
      <c r="AA4" s="16">
        <f t="shared" si="1"/>
        <v>0</v>
      </c>
    </row>
    <row r="5" spans="1:27" ht="16.5" customHeight="1" x14ac:dyDescent="0.25">
      <c r="A5" s="15"/>
      <c r="B5" s="10"/>
      <c r="C5" s="10"/>
      <c r="D5" s="10"/>
      <c r="E5" s="10"/>
      <c r="F5" s="9"/>
      <c r="G5" s="9"/>
      <c r="H5" s="9"/>
      <c r="I5" s="15"/>
      <c r="J5" s="15"/>
      <c r="K5" s="15"/>
      <c r="L5" s="15"/>
      <c r="M5" s="15"/>
      <c r="N5" s="15"/>
      <c r="O5" s="15"/>
      <c r="P5" s="15"/>
      <c r="Q5" s="15"/>
      <c r="R5" s="13"/>
      <c r="S5" s="12"/>
      <c r="T5" s="15"/>
      <c r="U5" s="20" t="s">
        <v>9</v>
      </c>
      <c r="V5" s="21"/>
      <c r="W5" s="21">
        <f t="shared" ref="W5:W20" si="2">SUMIF($G$11:$G$18,U5,$H$11:$H$18)+SUMIF($G$24:$G$35,U5,$H$24:$H$35)+SUMIF($N$8:$N$35,U5,$P$8:$P$35)</f>
        <v>0</v>
      </c>
      <c r="X5" s="22">
        <f t="shared" ref="X5:X20" si="3">IF($F$4=0,0,W5/$F$4)</f>
        <v>0</v>
      </c>
      <c r="Y5" s="15"/>
      <c r="Z5" s="15" t="str">
        <f t="shared" si="0"/>
        <v>Necessidades</v>
      </c>
      <c r="AA5" s="16">
        <f t="shared" si="1"/>
        <v>0</v>
      </c>
    </row>
    <row r="6" spans="1:27" ht="18" customHeight="1" x14ac:dyDescent="0.25">
      <c r="A6" s="15"/>
      <c r="B6" s="15"/>
      <c r="C6" s="15"/>
      <c r="D6" s="15"/>
      <c r="E6" s="15"/>
      <c r="F6" s="15"/>
      <c r="G6" s="15"/>
      <c r="H6" s="15"/>
      <c r="I6" s="15"/>
      <c r="J6" s="11" t="s">
        <v>10</v>
      </c>
      <c r="K6" s="11"/>
      <c r="L6" s="11"/>
      <c r="M6" s="11"/>
      <c r="N6" s="11"/>
      <c r="O6" s="11"/>
      <c r="P6" s="11"/>
      <c r="Q6" s="15"/>
      <c r="R6" s="15"/>
      <c r="S6" s="15"/>
      <c r="T6" s="15"/>
      <c r="U6" s="20" t="s">
        <v>11</v>
      </c>
      <c r="V6" s="21"/>
      <c r="W6" s="21">
        <f t="shared" si="2"/>
        <v>0</v>
      </c>
      <c r="X6" s="22">
        <f t="shared" si="3"/>
        <v>0</v>
      </c>
      <c r="Y6" s="15"/>
      <c r="Z6" s="15" t="str">
        <f t="shared" si="0"/>
        <v>Roupa</v>
      </c>
      <c r="AA6" s="16">
        <f t="shared" si="1"/>
        <v>0</v>
      </c>
    </row>
    <row r="7" spans="1:27" ht="18" customHeight="1" x14ac:dyDescent="0.25">
      <c r="A7" s="15"/>
      <c r="B7" s="8" t="s">
        <v>12</v>
      </c>
      <c r="C7" s="8"/>
      <c r="D7" s="8"/>
      <c r="E7" s="8"/>
      <c r="F7" s="7">
        <f>SUM(H11:H18)</f>
        <v>0</v>
      </c>
      <c r="G7" s="7"/>
      <c r="H7" s="7"/>
      <c r="I7" s="15"/>
      <c r="J7" s="6" t="s">
        <v>13</v>
      </c>
      <c r="K7" s="6"/>
      <c r="L7" s="18" t="s">
        <v>14</v>
      </c>
      <c r="M7" s="18" t="s">
        <v>15</v>
      </c>
      <c r="N7" s="5" t="s">
        <v>1</v>
      </c>
      <c r="O7" s="5"/>
      <c r="P7" s="19" t="s">
        <v>16</v>
      </c>
      <c r="Q7" s="15"/>
      <c r="R7" s="11" t="s">
        <v>17</v>
      </c>
      <c r="S7" s="11"/>
      <c r="T7" s="15"/>
      <c r="U7" s="20" t="s">
        <v>18</v>
      </c>
      <c r="V7" s="21"/>
      <c r="W7" s="21">
        <f t="shared" si="2"/>
        <v>0</v>
      </c>
      <c r="X7" s="22">
        <f t="shared" si="3"/>
        <v>0</v>
      </c>
      <c r="Y7" s="15"/>
      <c r="Z7" s="15" t="str">
        <f t="shared" si="0"/>
        <v>Saúde</v>
      </c>
      <c r="AA7" s="16">
        <f t="shared" si="1"/>
        <v>0</v>
      </c>
    </row>
    <row r="8" spans="1:27" ht="16.5" customHeight="1" x14ac:dyDescent="0.25">
      <c r="A8" s="15"/>
      <c r="B8" s="15"/>
      <c r="C8" s="15"/>
      <c r="D8" s="15"/>
      <c r="E8" s="15"/>
      <c r="F8" s="15"/>
      <c r="G8" s="15"/>
      <c r="H8" s="15"/>
      <c r="I8" s="15"/>
      <c r="J8" s="4"/>
      <c r="K8" s="4"/>
      <c r="L8" s="23"/>
      <c r="M8" s="24"/>
      <c r="N8" s="3"/>
      <c r="O8" s="3"/>
      <c r="P8" s="25"/>
      <c r="Q8" s="15"/>
      <c r="R8" s="20" t="s">
        <v>19</v>
      </c>
      <c r="S8" s="26"/>
      <c r="T8" s="15"/>
      <c r="U8" s="20" t="s">
        <v>20</v>
      </c>
      <c r="V8" s="21"/>
      <c r="W8" s="21">
        <f t="shared" si="2"/>
        <v>0</v>
      </c>
      <c r="X8" s="22">
        <f t="shared" si="3"/>
        <v>0</v>
      </c>
      <c r="Y8" s="15"/>
      <c r="Z8" s="15" t="str">
        <f t="shared" si="0"/>
        <v>Presentes</v>
      </c>
      <c r="AA8" s="16">
        <f t="shared" si="1"/>
        <v>0</v>
      </c>
    </row>
    <row r="9" spans="1:27" ht="18" customHeight="1" x14ac:dyDescent="0.25">
      <c r="A9" s="15"/>
      <c r="B9" s="11" t="s">
        <v>21</v>
      </c>
      <c r="C9" s="11"/>
      <c r="D9" s="11"/>
      <c r="E9" s="11"/>
      <c r="F9" s="11"/>
      <c r="G9" s="11"/>
      <c r="H9" s="11"/>
      <c r="I9" s="15"/>
      <c r="J9" s="4"/>
      <c r="K9" s="4"/>
      <c r="L9" s="23"/>
      <c r="M9" s="24"/>
      <c r="N9" s="3"/>
      <c r="O9" s="3"/>
      <c r="P9" s="25"/>
      <c r="Q9" s="15"/>
      <c r="R9" s="20" t="s">
        <v>22</v>
      </c>
      <c r="S9" s="26"/>
      <c r="T9" s="15"/>
      <c r="U9" s="20" t="s">
        <v>23</v>
      </c>
      <c r="V9" s="21"/>
      <c r="W9" s="21">
        <f t="shared" si="2"/>
        <v>0</v>
      </c>
      <c r="X9" s="22">
        <f t="shared" si="3"/>
        <v>0</v>
      </c>
      <c r="Y9" s="15"/>
      <c r="Z9" s="15" t="str">
        <f t="shared" si="0"/>
        <v>Beleza</v>
      </c>
      <c r="AA9" s="16">
        <f t="shared" si="1"/>
        <v>0</v>
      </c>
    </row>
    <row r="10" spans="1:27" ht="18" customHeight="1" x14ac:dyDescent="0.25">
      <c r="A10" s="15"/>
      <c r="B10" s="6" t="s">
        <v>13</v>
      </c>
      <c r="C10" s="6"/>
      <c r="D10" s="18" t="s">
        <v>24</v>
      </c>
      <c r="E10" s="18" t="s">
        <v>14</v>
      </c>
      <c r="F10" s="18" t="s">
        <v>15</v>
      </c>
      <c r="G10" s="18" t="s">
        <v>1</v>
      </c>
      <c r="H10" s="19" t="s">
        <v>16</v>
      </c>
      <c r="I10" s="15"/>
      <c r="J10" s="4"/>
      <c r="K10" s="4"/>
      <c r="L10" s="23"/>
      <c r="M10" s="24"/>
      <c r="N10" s="3"/>
      <c r="O10" s="3"/>
      <c r="P10" s="25"/>
      <c r="Q10" s="15"/>
      <c r="R10" s="27" t="s">
        <v>25</v>
      </c>
      <c r="S10" s="28">
        <f>SUM(S8:S9)</f>
        <v>0</v>
      </c>
      <c r="T10" s="15"/>
      <c r="U10" s="20" t="s">
        <v>26</v>
      </c>
      <c r="V10" s="21"/>
      <c r="W10" s="21">
        <f t="shared" si="2"/>
        <v>0</v>
      </c>
      <c r="X10" s="22">
        <f t="shared" si="3"/>
        <v>0</v>
      </c>
      <c r="Y10" s="15"/>
      <c r="Z10" s="15" t="str">
        <f t="shared" si="0"/>
        <v>Desenvolvimento</v>
      </c>
      <c r="AA10" s="16">
        <f t="shared" si="1"/>
        <v>0</v>
      </c>
    </row>
    <row r="11" spans="1:27" ht="16.5" customHeight="1" x14ac:dyDescent="0.25">
      <c r="A11" s="15"/>
      <c r="B11" s="4"/>
      <c r="C11" s="4"/>
      <c r="D11" s="24"/>
      <c r="E11" s="23"/>
      <c r="F11" s="24"/>
      <c r="G11" s="24"/>
      <c r="H11" s="25"/>
      <c r="I11" s="15"/>
      <c r="J11" s="4"/>
      <c r="K11" s="4"/>
      <c r="L11" s="23"/>
      <c r="M11" s="24"/>
      <c r="N11" s="3"/>
      <c r="O11" s="3"/>
      <c r="P11" s="25"/>
      <c r="Q11" s="15"/>
      <c r="R11" s="15"/>
      <c r="S11" s="15"/>
      <c r="T11" s="15"/>
      <c r="U11" s="20" t="s">
        <v>27</v>
      </c>
      <c r="V11" s="21"/>
      <c r="W11" s="21">
        <f t="shared" si="2"/>
        <v>0</v>
      </c>
      <c r="X11" s="22">
        <f t="shared" si="3"/>
        <v>0</v>
      </c>
      <c r="Y11" s="15"/>
      <c r="Z11" s="15" t="str">
        <f t="shared" si="0"/>
        <v>Lazer</v>
      </c>
      <c r="AA11" s="16">
        <f t="shared" si="1"/>
        <v>0</v>
      </c>
    </row>
    <row r="12" spans="1:27" ht="16.5" customHeight="1" x14ac:dyDescent="0.25">
      <c r="A12" s="15"/>
      <c r="B12" s="4"/>
      <c r="C12" s="4"/>
      <c r="D12" s="24"/>
      <c r="E12" s="23"/>
      <c r="F12" s="24"/>
      <c r="G12" s="24"/>
      <c r="H12" s="25"/>
      <c r="I12" s="15"/>
      <c r="J12" s="4"/>
      <c r="K12" s="4"/>
      <c r="L12" s="23"/>
      <c r="M12" s="24"/>
      <c r="N12" s="3"/>
      <c r="O12" s="3"/>
      <c r="P12" s="25"/>
      <c r="Q12" s="15"/>
      <c r="R12" s="11" t="s">
        <v>28</v>
      </c>
      <c r="S12" s="11"/>
      <c r="T12" s="15"/>
      <c r="U12" s="20" t="s">
        <v>29</v>
      </c>
      <c r="V12" s="21"/>
      <c r="W12" s="21">
        <f t="shared" si="2"/>
        <v>0</v>
      </c>
      <c r="X12" s="22">
        <f t="shared" si="3"/>
        <v>0</v>
      </c>
      <c r="Y12" s="15"/>
      <c r="Z12" s="15" t="str">
        <f t="shared" si="0"/>
        <v>Eletrônicos</v>
      </c>
      <c r="AA12" s="16">
        <f t="shared" si="1"/>
        <v>0</v>
      </c>
    </row>
    <row r="13" spans="1:27" ht="16.5" customHeight="1" x14ac:dyDescent="0.25">
      <c r="A13" s="15"/>
      <c r="B13" s="4"/>
      <c r="C13" s="4"/>
      <c r="D13" s="24"/>
      <c r="E13" s="23"/>
      <c r="F13" s="24"/>
      <c r="G13" s="24"/>
      <c r="H13" s="25"/>
      <c r="I13" s="15"/>
      <c r="J13" s="4"/>
      <c r="K13" s="4"/>
      <c r="L13" s="23"/>
      <c r="M13" s="24"/>
      <c r="N13" s="3"/>
      <c r="O13" s="3"/>
      <c r="P13" s="25"/>
      <c r="Q13" s="15"/>
      <c r="R13" s="20" t="s">
        <v>30</v>
      </c>
      <c r="S13" s="26">
        <f>SUMIF($F$11:$F$18,R13,$H$11:$H$18)+SUMIF($F$24:$F$35,R13,$H$24:$H$35)+SUMIF($M$8:$M$35,R13,$P$8:$P$35)</f>
        <v>0</v>
      </c>
      <c r="T13" s="15"/>
      <c r="U13" s="20" t="s">
        <v>31</v>
      </c>
      <c r="V13" s="21"/>
      <c r="W13" s="21">
        <f t="shared" si="2"/>
        <v>0</v>
      </c>
      <c r="X13" s="22">
        <f t="shared" si="3"/>
        <v>0</v>
      </c>
      <c r="Y13" s="15"/>
      <c r="Z13" s="15" t="str">
        <f t="shared" si="0"/>
        <v>Assinaturas</v>
      </c>
      <c r="AA13" s="16">
        <f t="shared" si="1"/>
        <v>0</v>
      </c>
    </row>
    <row r="14" spans="1:27" ht="16.5" customHeight="1" x14ac:dyDescent="0.25">
      <c r="A14" s="15"/>
      <c r="B14" s="4"/>
      <c r="C14" s="4"/>
      <c r="D14" s="24"/>
      <c r="E14" s="23"/>
      <c r="F14" s="24"/>
      <c r="G14" s="24"/>
      <c r="H14" s="25"/>
      <c r="I14" s="15"/>
      <c r="J14" s="4"/>
      <c r="K14" s="4"/>
      <c r="L14" s="23"/>
      <c r="M14" s="24"/>
      <c r="N14" s="3"/>
      <c r="O14" s="3"/>
      <c r="P14" s="25"/>
      <c r="Q14" s="15"/>
      <c r="R14" s="20" t="s">
        <v>32</v>
      </c>
      <c r="S14" s="26">
        <f>SUMIF($F$11:$F$18,R14,$H$11:$H$18)+SUMIF($F$24:$F$35,R14,$H$24:$H$35)+SUMIF($M$8:$M$35,R14,$P$8:$P$35)</f>
        <v>0</v>
      </c>
      <c r="T14" s="15"/>
      <c r="U14" s="20" t="s">
        <v>33</v>
      </c>
      <c r="V14" s="21"/>
      <c r="W14" s="21">
        <f t="shared" si="2"/>
        <v>0</v>
      </c>
      <c r="X14" s="22">
        <f t="shared" si="3"/>
        <v>0</v>
      </c>
      <c r="Y14" s="15"/>
      <c r="Z14" s="15" t="str">
        <f t="shared" si="0"/>
        <v>Uber transporte</v>
      </c>
      <c r="AA14" s="16">
        <f t="shared" si="1"/>
        <v>0</v>
      </c>
    </row>
    <row r="15" spans="1:27" ht="16.5" customHeight="1" x14ac:dyDescent="0.25">
      <c r="A15" s="15"/>
      <c r="B15" s="4"/>
      <c r="C15" s="4"/>
      <c r="D15" s="24"/>
      <c r="E15" s="23"/>
      <c r="F15" s="24"/>
      <c r="G15" s="24"/>
      <c r="H15" s="25"/>
      <c r="I15" s="15"/>
      <c r="J15" s="4"/>
      <c r="K15" s="4"/>
      <c r="L15" s="23"/>
      <c r="M15" s="24"/>
      <c r="N15" s="3"/>
      <c r="O15" s="3"/>
      <c r="P15" s="25"/>
      <c r="Q15" s="15"/>
      <c r="R15" s="20" t="s">
        <v>34</v>
      </c>
      <c r="S15" s="26">
        <f>SUMIF($F$11:$F$18,R15,$H$11:$H$18)+SUMIF($F$24:$F$35,R15,$H$24:$H$35)+SUMIF($M$8:$M$35,R15,$P$8:$P$35)</f>
        <v>0</v>
      </c>
      <c r="T15" s="15"/>
      <c r="U15" s="20" t="s">
        <v>35</v>
      </c>
      <c r="V15" s="21"/>
      <c r="W15" s="21">
        <f t="shared" si="2"/>
        <v>0</v>
      </c>
      <c r="X15" s="22">
        <f t="shared" si="3"/>
        <v>0</v>
      </c>
      <c r="Y15" s="15"/>
      <c r="Z15" s="15" t="str">
        <f t="shared" si="0"/>
        <v>iFood/restaurante</v>
      </c>
      <c r="AA15" s="16">
        <f t="shared" si="1"/>
        <v>0</v>
      </c>
    </row>
    <row r="16" spans="1:27" ht="16.5" customHeight="1" x14ac:dyDescent="0.25">
      <c r="A16" s="15"/>
      <c r="B16" s="4"/>
      <c r="C16" s="4"/>
      <c r="D16" s="24"/>
      <c r="E16" s="23"/>
      <c r="F16" s="24"/>
      <c r="G16" s="24"/>
      <c r="H16" s="25"/>
      <c r="I16" s="15"/>
      <c r="J16" s="4"/>
      <c r="K16" s="4"/>
      <c r="L16" s="23"/>
      <c r="M16" s="24"/>
      <c r="N16" s="3"/>
      <c r="O16" s="3"/>
      <c r="P16" s="25"/>
      <c r="Q16" s="15"/>
      <c r="R16" s="20" t="s">
        <v>36</v>
      </c>
      <c r="S16" s="26">
        <f>SUMIF($F$11:$F$18,R16,$H$11:$H$18)+SUMIF($F$24:$F$35,R16,$H$24:$H$35)+SUMIF($M$8:$M$35,R16,$P$8:$P$35)</f>
        <v>0</v>
      </c>
      <c r="T16" s="15"/>
      <c r="U16" s="20" t="s">
        <v>37</v>
      </c>
      <c r="V16" s="21"/>
      <c r="W16" s="21">
        <f t="shared" si="2"/>
        <v>0</v>
      </c>
      <c r="X16" s="22">
        <f t="shared" si="3"/>
        <v>0</v>
      </c>
      <c r="Y16" s="15"/>
      <c r="Z16" s="15" t="str">
        <f t="shared" si="0"/>
        <v>Comida faculdade</v>
      </c>
      <c r="AA16" s="16">
        <f t="shared" si="1"/>
        <v>0</v>
      </c>
    </row>
    <row r="17" spans="1:27" ht="16.5" customHeight="1" x14ac:dyDescent="0.25">
      <c r="A17" s="15"/>
      <c r="B17" s="4"/>
      <c r="C17" s="4"/>
      <c r="D17" s="24"/>
      <c r="E17" s="23"/>
      <c r="F17" s="24"/>
      <c r="G17" s="24"/>
      <c r="H17" s="25"/>
      <c r="I17" s="15"/>
      <c r="J17" s="4"/>
      <c r="K17" s="4"/>
      <c r="L17" s="23"/>
      <c r="M17" s="24"/>
      <c r="N17" s="3"/>
      <c r="O17" s="3"/>
      <c r="P17" s="25"/>
      <c r="Q17" s="15"/>
      <c r="R17" s="20" t="s">
        <v>38</v>
      </c>
      <c r="S17" s="26">
        <f>S23</f>
        <v>0</v>
      </c>
      <c r="T17" s="15"/>
      <c r="U17" s="20" t="s">
        <v>39</v>
      </c>
      <c r="V17" s="21"/>
      <c r="W17" s="21">
        <f t="shared" si="2"/>
        <v>0</v>
      </c>
      <c r="X17" s="22">
        <f t="shared" si="3"/>
        <v>0</v>
      </c>
      <c r="Y17" s="15"/>
      <c r="Z17" s="15" t="str">
        <f t="shared" si="0"/>
        <v>Contas</v>
      </c>
      <c r="AA17" s="16">
        <f t="shared" si="1"/>
        <v>0</v>
      </c>
    </row>
    <row r="18" spans="1:27" ht="16.5" customHeight="1" x14ac:dyDescent="0.25">
      <c r="A18" s="15"/>
      <c r="B18" s="2"/>
      <c r="C18" s="2"/>
      <c r="D18" s="30"/>
      <c r="E18" s="31"/>
      <c r="F18" s="30"/>
      <c r="G18" s="30"/>
      <c r="H18" s="32"/>
      <c r="I18" s="15"/>
      <c r="J18" s="4"/>
      <c r="K18" s="4"/>
      <c r="L18" s="23"/>
      <c r="M18" s="24"/>
      <c r="N18" s="3"/>
      <c r="O18" s="3"/>
      <c r="P18" s="25"/>
      <c r="Q18" s="15"/>
      <c r="R18" s="27" t="s">
        <v>25</v>
      </c>
      <c r="S18" s="28">
        <f>SUM(S13:S17)</f>
        <v>0</v>
      </c>
      <c r="T18" s="15"/>
      <c r="U18" s="20" t="s">
        <v>40</v>
      </c>
      <c r="V18" s="21"/>
      <c r="W18" s="21">
        <f t="shared" si="2"/>
        <v>0</v>
      </c>
      <c r="X18" s="22">
        <f t="shared" si="3"/>
        <v>0</v>
      </c>
      <c r="Y18" s="15"/>
      <c r="Z18" s="15" t="str">
        <f t="shared" si="0"/>
        <v>Outros</v>
      </c>
      <c r="AA18" s="16">
        <f t="shared" si="1"/>
        <v>0</v>
      </c>
    </row>
    <row r="19" spans="1:27" ht="16.5" customHeight="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4"/>
      <c r="K19" s="4"/>
      <c r="L19" s="23"/>
      <c r="M19" s="24"/>
      <c r="N19" s="3"/>
      <c r="O19" s="3"/>
      <c r="P19" s="25"/>
      <c r="Q19" s="15"/>
      <c r="R19" s="15"/>
      <c r="S19" s="15"/>
      <c r="T19" s="15"/>
      <c r="U19" s="20" t="s">
        <v>41</v>
      </c>
      <c r="V19" s="21"/>
      <c r="W19" s="21">
        <f t="shared" si="2"/>
        <v>0</v>
      </c>
      <c r="X19" s="22">
        <f t="shared" si="3"/>
        <v>0</v>
      </c>
      <c r="Y19" s="15"/>
      <c r="Z19" s="15"/>
      <c r="AA19" s="15"/>
    </row>
    <row r="20" spans="1:27" ht="18" customHeight="1" x14ac:dyDescent="0.25">
      <c r="A20" s="15"/>
      <c r="B20" s="8" t="s">
        <v>42</v>
      </c>
      <c r="C20" s="8"/>
      <c r="D20" s="8"/>
      <c r="E20" s="8"/>
      <c r="F20" s="7">
        <f>SUM(H24:H35)</f>
        <v>0</v>
      </c>
      <c r="G20" s="7"/>
      <c r="H20" s="7"/>
      <c r="I20" s="15"/>
      <c r="J20" s="4"/>
      <c r="K20" s="4"/>
      <c r="L20" s="23"/>
      <c r="M20" s="24"/>
      <c r="N20" s="3"/>
      <c r="O20" s="3"/>
      <c r="P20" s="25"/>
      <c r="Q20" s="15"/>
      <c r="R20" s="11" t="s">
        <v>38</v>
      </c>
      <c r="S20" s="11"/>
      <c r="T20" s="15"/>
      <c r="U20" s="29" t="s">
        <v>43</v>
      </c>
      <c r="V20" s="33"/>
      <c r="W20" s="33">
        <f t="shared" si="2"/>
        <v>0</v>
      </c>
      <c r="X20" s="34">
        <f t="shared" si="3"/>
        <v>0</v>
      </c>
      <c r="Y20" s="15"/>
      <c r="Z20" s="15"/>
      <c r="AA20" s="15"/>
    </row>
    <row r="21" spans="1:27" ht="16.5" customHeight="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4"/>
      <c r="K21" s="4"/>
      <c r="L21" s="23"/>
      <c r="M21" s="24"/>
      <c r="N21" s="3"/>
      <c r="O21" s="3"/>
      <c r="P21" s="25"/>
      <c r="Q21" s="15"/>
      <c r="R21" s="20" t="s">
        <v>44</v>
      </c>
      <c r="S21" s="26"/>
      <c r="T21" s="15"/>
      <c r="U21" s="15"/>
      <c r="V21" s="15"/>
      <c r="W21" s="15"/>
      <c r="X21" s="15"/>
      <c r="Y21" s="15"/>
      <c r="Z21" s="15"/>
      <c r="AA21" s="15"/>
    </row>
    <row r="22" spans="1:27" ht="18" customHeight="1" x14ac:dyDescent="0.25">
      <c r="A22" s="15"/>
      <c r="B22" s="11" t="s">
        <v>45</v>
      </c>
      <c r="C22" s="11"/>
      <c r="D22" s="11"/>
      <c r="E22" s="11"/>
      <c r="F22" s="11"/>
      <c r="G22" s="11"/>
      <c r="H22" s="11"/>
      <c r="I22" s="15"/>
      <c r="J22" s="4"/>
      <c r="K22" s="4"/>
      <c r="L22" s="23"/>
      <c r="M22" s="24"/>
      <c r="N22" s="3"/>
      <c r="O22" s="3"/>
      <c r="P22" s="25"/>
      <c r="Q22" s="15"/>
      <c r="R22" s="20" t="s">
        <v>46</v>
      </c>
      <c r="S22" s="26"/>
      <c r="T22" s="15"/>
      <c r="U22" s="11" t="s">
        <v>47</v>
      </c>
      <c r="V22" s="11"/>
      <c r="W22" s="11"/>
      <c r="X22" s="11"/>
      <c r="Y22" s="15"/>
      <c r="Z22" s="15"/>
      <c r="AA22" s="15"/>
    </row>
    <row r="23" spans="1:27" ht="18" customHeight="1" x14ac:dyDescent="0.25">
      <c r="A23" s="15"/>
      <c r="B23" s="6" t="s">
        <v>13</v>
      </c>
      <c r="C23" s="6"/>
      <c r="D23" s="18" t="s">
        <v>48</v>
      </c>
      <c r="E23" s="18" t="s">
        <v>14</v>
      </c>
      <c r="F23" s="18" t="s">
        <v>15</v>
      </c>
      <c r="G23" s="18" t="s">
        <v>1</v>
      </c>
      <c r="H23" s="19" t="s">
        <v>16</v>
      </c>
      <c r="I23" s="15"/>
      <c r="J23" s="4"/>
      <c r="K23" s="4"/>
      <c r="L23" s="23"/>
      <c r="M23" s="24"/>
      <c r="N23" s="3"/>
      <c r="O23" s="3"/>
      <c r="P23" s="25"/>
      <c r="Q23" s="15"/>
      <c r="R23" s="27" t="s">
        <v>25</v>
      </c>
      <c r="S23" s="28">
        <f>SUM(S21:S22)</f>
        <v>0</v>
      </c>
      <c r="T23" s="15"/>
      <c r="U23" s="17" t="s">
        <v>15</v>
      </c>
      <c r="V23" s="18" t="s">
        <v>16</v>
      </c>
      <c r="W23" s="18" t="s">
        <v>14</v>
      </c>
      <c r="X23" s="19" t="s">
        <v>24</v>
      </c>
      <c r="Y23" s="15"/>
      <c r="Z23" s="15"/>
      <c r="AA23" s="15"/>
    </row>
    <row r="24" spans="1:27" ht="16.5" customHeight="1" x14ac:dyDescent="0.25">
      <c r="A24" s="15"/>
      <c r="B24" s="4"/>
      <c r="C24" s="4"/>
      <c r="D24" s="24"/>
      <c r="E24" s="23"/>
      <c r="F24" s="24"/>
      <c r="G24" s="24"/>
      <c r="H24" s="25"/>
      <c r="I24" s="15"/>
      <c r="J24" s="4"/>
      <c r="K24" s="4"/>
      <c r="L24" s="23"/>
      <c r="M24" s="24"/>
      <c r="N24" s="3"/>
      <c r="O24" s="3"/>
      <c r="P24" s="25"/>
      <c r="Q24" s="15"/>
      <c r="R24" s="15"/>
      <c r="S24" s="15"/>
      <c r="T24" s="15"/>
      <c r="U24" s="20" t="s">
        <v>30</v>
      </c>
      <c r="V24" s="35">
        <f>S13</f>
        <v>0</v>
      </c>
      <c r="W24" s="36"/>
      <c r="X24" s="37" t="s">
        <v>49</v>
      </c>
      <c r="Y24" s="15"/>
      <c r="Z24" s="15"/>
      <c r="AA24" s="15"/>
    </row>
    <row r="25" spans="1:27" ht="16.5" customHeight="1" x14ac:dyDescent="0.25">
      <c r="A25" s="15"/>
      <c r="B25" s="4"/>
      <c r="C25" s="4"/>
      <c r="D25" s="24"/>
      <c r="E25" s="23"/>
      <c r="F25" s="24"/>
      <c r="G25" s="24"/>
      <c r="H25" s="25"/>
      <c r="I25" s="15"/>
      <c r="J25" s="4"/>
      <c r="K25" s="4"/>
      <c r="L25" s="23"/>
      <c r="M25" s="24"/>
      <c r="N25" s="3"/>
      <c r="O25" s="3"/>
      <c r="P25" s="25"/>
      <c r="Q25" s="15"/>
      <c r="R25" s="15"/>
      <c r="S25" s="15"/>
      <c r="T25" s="15"/>
      <c r="U25" s="20" t="s">
        <v>32</v>
      </c>
      <c r="V25" s="35">
        <f>S14</f>
        <v>0</v>
      </c>
      <c r="W25" s="36"/>
      <c r="X25" s="37" t="s">
        <v>49</v>
      </c>
      <c r="Y25" s="15"/>
      <c r="Z25" s="15"/>
      <c r="AA25" s="15"/>
    </row>
    <row r="26" spans="1:27" ht="16.5" customHeight="1" x14ac:dyDescent="0.25">
      <c r="A26" s="15"/>
      <c r="B26" s="4"/>
      <c r="C26" s="4"/>
      <c r="D26" s="24"/>
      <c r="E26" s="23"/>
      <c r="F26" s="24"/>
      <c r="G26" s="24"/>
      <c r="H26" s="25"/>
      <c r="I26" s="15"/>
      <c r="J26" s="4"/>
      <c r="K26" s="4"/>
      <c r="L26" s="23"/>
      <c r="M26" s="24"/>
      <c r="N26" s="3"/>
      <c r="O26" s="3"/>
      <c r="P26" s="25"/>
      <c r="Q26" s="15"/>
      <c r="R26" s="15"/>
      <c r="S26" s="15"/>
      <c r="T26" s="15"/>
      <c r="U26" s="20" t="s">
        <v>34</v>
      </c>
      <c r="V26" s="35">
        <f>S15</f>
        <v>0</v>
      </c>
      <c r="W26" s="36"/>
      <c r="X26" s="37" t="s">
        <v>49</v>
      </c>
      <c r="Y26" s="15"/>
      <c r="Z26" s="15"/>
      <c r="AA26" s="15"/>
    </row>
    <row r="27" spans="1:27" ht="16.5" customHeight="1" x14ac:dyDescent="0.25">
      <c r="A27" s="15"/>
      <c r="B27" s="4"/>
      <c r="C27" s="4"/>
      <c r="D27" s="24"/>
      <c r="E27" s="23"/>
      <c r="F27" s="24"/>
      <c r="G27" s="24"/>
      <c r="H27" s="25"/>
      <c r="I27" s="15"/>
      <c r="J27" s="4"/>
      <c r="K27" s="4"/>
      <c r="L27" s="23"/>
      <c r="M27" s="24"/>
      <c r="N27" s="3"/>
      <c r="O27" s="3"/>
      <c r="P27" s="25"/>
      <c r="Q27" s="15"/>
      <c r="R27" s="15"/>
      <c r="S27" s="15"/>
      <c r="T27" s="15"/>
      <c r="U27" s="29" t="s">
        <v>36</v>
      </c>
      <c r="V27" s="38">
        <f>S16</f>
        <v>0</v>
      </c>
      <c r="W27" s="39"/>
      <c r="X27" s="40" t="s">
        <v>49</v>
      </c>
      <c r="Y27" s="15"/>
      <c r="Z27" s="15"/>
      <c r="AA27" s="15"/>
    </row>
    <row r="28" spans="1:27" ht="16.5" customHeight="1" x14ac:dyDescent="0.25">
      <c r="A28" s="15"/>
      <c r="B28" s="4"/>
      <c r="C28" s="4"/>
      <c r="D28" s="24"/>
      <c r="E28" s="23"/>
      <c r="F28" s="24"/>
      <c r="G28" s="24"/>
      <c r="H28" s="25"/>
      <c r="I28" s="15"/>
      <c r="J28" s="4"/>
      <c r="K28" s="4"/>
      <c r="L28" s="23"/>
      <c r="M28" s="24"/>
      <c r="N28" s="3"/>
      <c r="O28" s="3"/>
      <c r="P28" s="2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6.5" customHeight="1" x14ac:dyDescent="0.25">
      <c r="A29" s="15"/>
      <c r="B29" s="4"/>
      <c r="C29" s="4"/>
      <c r="D29" s="24"/>
      <c r="E29" s="23"/>
      <c r="F29" s="24"/>
      <c r="G29" s="24"/>
      <c r="H29" s="25"/>
      <c r="I29" s="15"/>
      <c r="J29" s="4"/>
      <c r="K29" s="4"/>
      <c r="L29" s="23"/>
      <c r="M29" s="24"/>
      <c r="N29" s="3"/>
      <c r="O29" s="3"/>
      <c r="P29" s="2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ht="18" customHeight="1" x14ac:dyDescent="0.25">
      <c r="A30" s="15"/>
      <c r="B30" s="4"/>
      <c r="C30" s="4"/>
      <c r="D30" s="24"/>
      <c r="E30" s="23"/>
      <c r="F30" s="24"/>
      <c r="G30" s="24"/>
      <c r="H30" s="25"/>
      <c r="I30" s="15"/>
      <c r="J30" s="4"/>
      <c r="K30" s="4"/>
      <c r="L30" s="23"/>
      <c r="M30" s="24"/>
      <c r="N30" s="3"/>
      <c r="O30" s="3"/>
      <c r="P30" s="25"/>
      <c r="Q30" s="15"/>
      <c r="R30" s="1" t="s">
        <v>50</v>
      </c>
      <c r="S30" s="1"/>
      <c r="T30" s="1"/>
      <c r="U30" s="1"/>
      <c r="V30" s="1"/>
      <c r="W30" s="1"/>
      <c r="X30" s="1"/>
      <c r="Y30" s="15"/>
      <c r="Z30" s="15"/>
      <c r="AA30" s="15"/>
    </row>
    <row r="31" spans="1:27" ht="16.5" customHeight="1" x14ac:dyDescent="0.25">
      <c r="A31" s="15"/>
      <c r="B31" s="4"/>
      <c r="C31" s="4"/>
      <c r="D31" s="24"/>
      <c r="E31" s="23"/>
      <c r="F31" s="24"/>
      <c r="G31" s="24"/>
      <c r="H31" s="25"/>
      <c r="I31" s="15"/>
      <c r="J31" s="4"/>
      <c r="K31" s="4"/>
      <c r="L31" s="23"/>
      <c r="M31" s="24"/>
      <c r="N31" s="3"/>
      <c r="O31" s="3"/>
      <c r="P31" s="2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6.5" customHeight="1" x14ac:dyDescent="0.25">
      <c r="A32" s="15"/>
      <c r="B32" s="4"/>
      <c r="C32" s="4"/>
      <c r="D32" s="24"/>
      <c r="E32" s="23"/>
      <c r="F32" s="24"/>
      <c r="G32" s="24"/>
      <c r="H32" s="25"/>
      <c r="I32" s="15"/>
      <c r="J32" s="4"/>
      <c r="K32" s="4"/>
      <c r="L32" s="23"/>
      <c r="M32" s="24"/>
      <c r="N32" s="3"/>
      <c r="O32" s="3"/>
      <c r="P32" s="2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ht="16.5" customHeight="1" x14ac:dyDescent="0.25">
      <c r="A33" s="15"/>
      <c r="B33" s="4"/>
      <c r="C33" s="4"/>
      <c r="D33" s="24"/>
      <c r="E33" s="23"/>
      <c r="F33" s="24"/>
      <c r="G33" s="24"/>
      <c r="H33" s="25"/>
      <c r="I33" s="15"/>
      <c r="J33" s="4"/>
      <c r="K33" s="4"/>
      <c r="L33" s="23"/>
      <c r="M33" s="24"/>
      <c r="N33" s="3"/>
      <c r="O33" s="3"/>
      <c r="P33" s="2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6.5" customHeight="1" x14ac:dyDescent="0.25">
      <c r="A34" s="15"/>
      <c r="B34" s="4"/>
      <c r="C34" s="4"/>
      <c r="D34" s="24"/>
      <c r="E34" s="23"/>
      <c r="F34" s="24"/>
      <c r="G34" s="24"/>
      <c r="H34" s="25"/>
      <c r="I34" s="15"/>
      <c r="J34" s="4"/>
      <c r="K34" s="4"/>
      <c r="L34" s="23"/>
      <c r="M34" s="24"/>
      <c r="N34" s="3"/>
      <c r="O34" s="3"/>
      <c r="P34" s="2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6.5" customHeight="1" x14ac:dyDescent="0.25">
      <c r="A35" s="15"/>
      <c r="B35" s="2"/>
      <c r="C35" s="2"/>
      <c r="D35" s="30"/>
      <c r="E35" s="31"/>
      <c r="F35" s="30"/>
      <c r="G35" s="30"/>
      <c r="H35" s="32"/>
      <c r="I35" s="15"/>
      <c r="J35" s="2"/>
      <c r="K35" s="2"/>
      <c r="L35" s="31"/>
      <c r="M35" s="30"/>
      <c r="N35" s="73"/>
      <c r="O35" s="73"/>
      <c r="P35" s="32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6.5" customHeight="1" x14ac:dyDescent="0.2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6.5" customHeight="1" x14ac:dyDescent="0.2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6.5" customHeight="1" x14ac:dyDescent="0.2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6.5" customHeight="1" x14ac:dyDescent="0.2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ht="16.5" customHeight="1" x14ac:dyDescent="0.2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6.5" customHeight="1" x14ac:dyDescent="0.2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6.5" customHeight="1" x14ac:dyDescent="0.2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6.5" customHeight="1" x14ac:dyDescent="0.2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6.5" customHeight="1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ht="16.5" customHeight="1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ht="16.5" customHeight="1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ht="16.5" customHeight="1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6.5" customHeight="1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ht="16.5" customHeight="1" x14ac:dyDescent="0.2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6.5" customHeight="1" x14ac:dyDescent="0.2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6.5" customHeight="1" x14ac:dyDescent="0.2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6.5" customHeight="1" x14ac:dyDescent="0.2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6.5" customHeight="1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6.5" customHeight="1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6.5" customHeight="1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</sheetData>
  <mergeCells count="100">
    <mergeCell ref="B35:C35"/>
    <mergeCell ref="J35:K35"/>
    <mergeCell ref="N35:O35"/>
    <mergeCell ref="B33:C33"/>
    <mergeCell ref="J33:K33"/>
    <mergeCell ref="N33:O33"/>
    <mergeCell ref="B34:C34"/>
    <mergeCell ref="J34:K34"/>
    <mergeCell ref="N34:O34"/>
    <mergeCell ref="R30:X30"/>
    <mergeCell ref="B31:C31"/>
    <mergeCell ref="J31:K31"/>
    <mergeCell ref="N31:O31"/>
    <mergeCell ref="B32:C32"/>
    <mergeCell ref="J32:K32"/>
    <mergeCell ref="N32:O32"/>
    <mergeCell ref="B29:C29"/>
    <mergeCell ref="J29:K29"/>
    <mergeCell ref="N29:O29"/>
    <mergeCell ref="B30:C30"/>
    <mergeCell ref="J30:K30"/>
    <mergeCell ref="N30:O30"/>
    <mergeCell ref="B27:C27"/>
    <mergeCell ref="J27:K27"/>
    <mergeCell ref="N27:O27"/>
    <mergeCell ref="B28:C28"/>
    <mergeCell ref="J28:K28"/>
    <mergeCell ref="N28:O28"/>
    <mergeCell ref="B25:C25"/>
    <mergeCell ref="J25:K25"/>
    <mergeCell ref="N25:O25"/>
    <mergeCell ref="B26:C26"/>
    <mergeCell ref="J26:K26"/>
    <mergeCell ref="N26:O26"/>
    <mergeCell ref="U22:X22"/>
    <mergeCell ref="B23:C23"/>
    <mergeCell ref="J23:K23"/>
    <mergeCell ref="N23:O23"/>
    <mergeCell ref="B24:C24"/>
    <mergeCell ref="J24:K24"/>
    <mergeCell ref="N24:O24"/>
    <mergeCell ref="J21:K21"/>
    <mergeCell ref="N21:O21"/>
    <mergeCell ref="B22:H22"/>
    <mergeCell ref="J22:K22"/>
    <mergeCell ref="N22:O22"/>
    <mergeCell ref="B20:E20"/>
    <mergeCell ref="F20:H20"/>
    <mergeCell ref="J20:K20"/>
    <mergeCell ref="N20:O20"/>
    <mergeCell ref="R20:S20"/>
    <mergeCell ref="B18:C18"/>
    <mergeCell ref="J18:K18"/>
    <mergeCell ref="N18:O18"/>
    <mergeCell ref="J19:K19"/>
    <mergeCell ref="N19:O19"/>
    <mergeCell ref="B16:C16"/>
    <mergeCell ref="J16:K16"/>
    <mergeCell ref="N16:O16"/>
    <mergeCell ref="B17:C17"/>
    <mergeCell ref="J17:K17"/>
    <mergeCell ref="N17:O17"/>
    <mergeCell ref="B14:C14"/>
    <mergeCell ref="J14:K14"/>
    <mergeCell ref="N14:O14"/>
    <mergeCell ref="B15:C15"/>
    <mergeCell ref="J15:K15"/>
    <mergeCell ref="N15:O15"/>
    <mergeCell ref="B12:C12"/>
    <mergeCell ref="J12:K12"/>
    <mergeCell ref="N12:O12"/>
    <mergeCell ref="R12:S12"/>
    <mergeCell ref="B13:C13"/>
    <mergeCell ref="J13:K13"/>
    <mergeCell ref="N13:O13"/>
    <mergeCell ref="B10:C10"/>
    <mergeCell ref="J10:K10"/>
    <mergeCell ref="N10:O10"/>
    <mergeCell ref="B11:C11"/>
    <mergeCell ref="J11:K11"/>
    <mergeCell ref="N11:O11"/>
    <mergeCell ref="R7:S7"/>
    <mergeCell ref="J8:K8"/>
    <mergeCell ref="N8:O8"/>
    <mergeCell ref="B9:H9"/>
    <mergeCell ref="J9:K9"/>
    <mergeCell ref="N9:O9"/>
    <mergeCell ref="J6:P6"/>
    <mergeCell ref="B7:E7"/>
    <mergeCell ref="F7:H7"/>
    <mergeCell ref="J7:K7"/>
    <mergeCell ref="N7:O7"/>
    <mergeCell ref="B2:P3"/>
    <mergeCell ref="R3:R5"/>
    <mergeCell ref="S3:S5"/>
    <mergeCell ref="U3:X3"/>
    <mergeCell ref="B4:E5"/>
    <mergeCell ref="F4:H5"/>
    <mergeCell ref="J4:M4"/>
    <mergeCell ref="N4:P4"/>
  </mergeCells>
  <conditionalFormatting sqref="D11:D18">
    <cfRule type="containsText" dxfId="88" priority="63" operator="containsText" text="☐">
      <formula>NOT(ISERROR(SEARCH("☐",D11)))</formula>
    </cfRule>
    <cfRule type="containsText" dxfId="87" priority="62" operator="containsText" text="☑">
      <formula>NOT(ISERROR(SEARCH("☑",D11)))</formula>
    </cfRule>
  </conditionalFormatting>
  <conditionalFormatting sqref="F11:F18">
    <cfRule type="containsText" dxfId="86" priority="2" operator="containsText" text="Débito">
      <formula>NOT(ISERROR(SEARCH("Débito",F11)))</formula>
    </cfRule>
    <cfRule type="containsText" dxfId="85" priority="3" operator="containsText" text="Nubank">
      <formula>NOT(ISERROR(SEARCH("Nubank",F11)))</formula>
    </cfRule>
    <cfRule type="containsText" dxfId="84" priority="4" operator="containsText" text="Inter">
      <formula>NOT(ISERROR(SEARCH("Inter",F11)))</formula>
    </cfRule>
    <cfRule type="containsText" dxfId="83" priority="5" operator="containsText" text="Itaú">
      <formula>NOT(ISERROR(SEARCH("Itaú",F11)))</formula>
    </cfRule>
  </conditionalFormatting>
  <conditionalFormatting sqref="F24:F35">
    <cfRule type="containsText" dxfId="82" priority="6" operator="containsText" text="Débito">
      <formula>NOT(ISERROR(SEARCH("Débito",F24)))</formula>
    </cfRule>
    <cfRule type="containsText" dxfId="81" priority="7" operator="containsText" text="Nubank">
      <formula>NOT(ISERROR(SEARCH("Nubank",F24)))</formula>
    </cfRule>
    <cfRule type="containsText" dxfId="80" priority="8" operator="containsText" text="Inter">
      <formula>NOT(ISERROR(SEARCH("Inter",F24)))</formula>
    </cfRule>
    <cfRule type="containsText" dxfId="79" priority="9" operator="containsText" text="Itaú">
      <formula>NOT(ISERROR(SEARCH("Itaú",F24)))</formula>
    </cfRule>
  </conditionalFormatting>
  <conditionalFormatting sqref="G11:G18">
    <cfRule type="containsText" dxfId="78" priority="28" operator="containsText" text="Contas">
      <formula>NOT(ISERROR(SEARCH("Contas",G11)))</formula>
    </cfRule>
    <cfRule type="containsText" dxfId="77" priority="29" operator="containsText" text="Outros">
      <formula>NOT(ISERROR(SEARCH("Outros",G11)))</formula>
    </cfRule>
    <cfRule type="containsText" dxfId="76" priority="22" operator="containsText" text="Lazer">
      <formula>NOT(ISERROR(SEARCH("Lazer",G11)))</formula>
    </cfRule>
    <cfRule type="containsText" dxfId="75" priority="14" operator="containsText" text="Mercado">
      <formula>NOT(ISERROR(SEARCH("Mercado",G11)))</formula>
    </cfRule>
    <cfRule type="containsText" dxfId="74" priority="15" operator="containsText" text="Despesas eventuais">
      <formula>NOT(ISERROR(SEARCH("Despesas eventuais",G11)))</formula>
    </cfRule>
    <cfRule type="containsText" dxfId="73" priority="16" operator="containsText" text="Necessidades">
      <formula>NOT(ISERROR(SEARCH("Necessidades",G11)))</formula>
    </cfRule>
    <cfRule type="containsText" dxfId="72" priority="17" operator="containsText" text="Roupa">
      <formula>NOT(ISERROR(SEARCH("Roupa",G11)))</formula>
    </cfRule>
    <cfRule type="containsText" dxfId="71" priority="18" operator="containsText" text="Saúde">
      <formula>NOT(ISERROR(SEARCH("Saúde",G11)))</formula>
    </cfRule>
    <cfRule type="containsText" dxfId="70" priority="19" operator="containsText" text="Presentes">
      <formula>NOT(ISERROR(SEARCH("Presentes",G11)))</formula>
    </cfRule>
    <cfRule type="containsText" dxfId="69" priority="20" operator="containsText" text="Beleza">
      <formula>NOT(ISERROR(SEARCH("Beleza",G11)))</formula>
    </cfRule>
    <cfRule type="containsText" dxfId="68" priority="21" operator="containsText" text="Desenvolvimento">
      <formula>NOT(ISERROR(SEARCH("Desenvolvimento",G11)))</formula>
    </cfRule>
    <cfRule type="containsText" dxfId="67" priority="23" operator="containsText" text="Eletrônicos">
      <formula>NOT(ISERROR(SEARCH("Eletrônicos",G11)))</formula>
    </cfRule>
    <cfRule type="containsText" dxfId="66" priority="24" operator="containsText" text="Assinaturas">
      <formula>NOT(ISERROR(SEARCH("Assinaturas",G11)))</formula>
    </cfRule>
    <cfRule type="containsText" dxfId="65" priority="25" operator="containsText" text="Uber transporte">
      <formula>NOT(ISERROR(SEARCH("Uber transporte",G11)))</formula>
    </cfRule>
    <cfRule type="containsText" dxfId="64" priority="26" operator="containsText" text="iFood/restaurante">
      <formula>NOT(ISERROR(SEARCH("iFood/restaurante",G11)))</formula>
    </cfRule>
    <cfRule type="containsText" dxfId="63" priority="27" operator="containsText" text="Comida faculdade">
      <formula>NOT(ISERROR(SEARCH("Comida faculdade",G11)))</formula>
    </cfRule>
  </conditionalFormatting>
  <conditionalFormatting sqref="G24:G35">
    <cfRule type="containsText" dxfId="62" priority="44" operator="containsText" text="Contas">
      <formula>NOT(ISERROR(SEARCH("Contas",G24)))</formula>
    </cfRule>
    <cfRule type="containsText" dxfId="61" priority="45" operator="containsText" text="Outros">
      <formula>NOT(ISERROR(SEARCH("Outros",G24)))</formula>
    </cfRule>
    <cfRule type="containsText" dxfId="60" priority="30" operator="containsText" text="Mercado">
      <formula>NOT(ISERROR(SEARCH("Mercado",G24)))</formula>
    </cfRule>
    <cfRule type="containsText" dxfId="59" priority="31" operator="containsText" text="Despesas eventuais">
      <formula>NOT(ISERROR(SEARCH("Despesas eventuais",G24)))</formula>
    </cfRule>
    <cfRule type="containsText" dxfId="58" priority="32" operator="containsText" text="Necessidades">
      <formula>NOT(ISERROR(SEARCH("Necessidades",G24)))</formula>
    </cfRule>
    <cfRule type="containsText" dxfId="57" priority="33" operator="containsText" text="Roupa">
      <formula>NOT(ISERROR(SEARCH("Roupa",G24)))</formula>
    </cfRule>
    <cfRule type="containsText" dxfId="56" priority="34" operator="containsText" text="Saúde">
      <formula>NOT(ISERROR(SEARCH("Saúde",G24)))</formula>
    </cfRule>
    <cfRule type="containsText" dxfId="55" priority="35" operator="containsText" text="Presentes">
      <formula>NOT(ISERROR(SEARCH("Presentes",G24)))</formula>
    </cfRule>
    <cfRule type="containsText" dxfId="54" priority="36" operator="containsText" text="Beleza">
      <formula>NOT(ISERROR(SEARCH("Beleza",G24)))</formula>
    </cfRule>
    <cfRule type="containsText" dxfId="53" priority="37" operator="containsText" text="Desenvolvimento">
      <formula>NOT(ISERROR(SEARCH("Desenvolvimento",G24)))</formula>
    </cfRule>
    <cfRule type="containsText" dxfId="52" priority="38" operator="containsText" text="Lazer">
      <formula>NOT(ISERROR(SEARCH("Lazer",G24)))</formula>
    </cfRule>
    <cfRule type="containsText" dxfId="51" priority="39" operator="containsText" text="Eletrônicos">
      <formula>NOT(ISERROR(SEARCH("Eletrônicos",G24)))</formula>
    </cfRule>
    <cfRule type="containsText" dxfId="50" priority="40" operator="containsText" text="Assinaturas">
      <formula>NOT(ISERROR(SEARCH("Assinaturas",G24)))</formula>
    </cfRule>
    <cfRule type="containsText" dxfId="49" priority="41" operator="containsText" text="Uber transporte">
      <formula>NOT(ISERROR(SEARCH("Uber transporte",G24)))</formula>
    </cfRule>
    <cfRule type="containsText" dxfId="48" priority="42" operator="containsText" text="iFood/restaurante">
      <formula>NOT(ISERROR(SEARCH("iFood/restaurante",G24)))</formula>
    </cfRule>
    <cfRule type="containsText" dxfId="47" priority="43" operator="containsText" text="Comida faculdade">
      <formula>NOT(ISERROR(SEARCH("Comida faculdade",G24)))</formula>
    </cfRule>
  </conditionalFormatting>
  <conditionalFormatting sqref="M8:M35">
    <cfRule type="containsText" dxfId="46" priority="10" operator="containsText" text="Débito">
      <formula>NOT(ISERROR(SEARCH("Débito",M8)))</formula>
    </cfRule>
    <cfRule type="containsText" dxfId="45" priority="11" operator="containsText" text="Nubank">
      <formula>NOT(ISERROR(SEARCH("Nubank",M8)))</formula>
    </cfRule>
    <cfRule type="containsText" dxfId="44" priority="12" operator="containsText" text="Inter">
      <formula>NOT(ISERROR(SEARCH("Inter",M8)))</formula>
    </cfRule>
    <cfRule type="containsText" dxfId="43" priority="13" operator="containsText" text="Itaú">
      <formula>NOT(ISERROR(SEARCH("Itaú",M8)))</formula>
    </cfRule>
  </conditionalFormatting>
  <conditionalFormatting sqref="N8:O35">
    <cfRule type="containsText" dxfId="42" priority="46" operator="containsText" text="Mercado">
      <formula>NOT(ISERROR(SEARCH("Mercado",N8)))</formula>
    </cfRule>
    <cfRule type="containsText" dxfId="41" priority="47" operator="containsText" text="Despesas eventuais">
      <formula>NOT(ISERROR(SEARCH("Despesas eventuais",N8)))</formula>
    </cfRule>
    <cfRule type="containsText" dxfId="40" priority="48" operator="containsText" text="Necessidades">
      <formula>NOT(ISERROR(SEARCH("Necessidades",N8)))</formula>
    </cfRule>
    <cfRule type="containsText" dxfId="39" priority="49" operator="containsText" text="Roupa">
      <formula>NOT(ISERROR(SEARCH("Roupa",N8)))</formula>
    </cfRule>
    <cfRule type="containsText" dxfId="38" priority="50" operator="containsText" text="Saúde">
      <formula>NOT(ISERROR(SEARCH("Saúde",N8)))</formula>
    </cfRule>
    <cfRule type="containsText" dxfId="37" priority="51" operator="containsText" text="Presentes">
      <formula>NOT(ISERROR(SEARCH("Presentes",N8)))</formula>
    </cfRule>
    <cfRule type="containsText" dxfId="36" priority="52" operator="containsText" text="Beleza">
      <formula>NOT(ISERROR(SEARCH("Beleza",N8)))</formula>
    </cfRule>
    <cfRule type="containsText" dxfId="35" priority="53" operator="containsText" text="Desenvolvimento">
      <formula>NOT(ISERROR(SEARCH("Desenvolvimento",N8)))</formula>
    </cfRule>
    <cfRule type="containsText" dxfId="34" priority="54" operator="containsText" text="Lazer">
      <formula>NOT(ISERROR(SEARCH("Lazer",N8)))</formula>
    </cfRule>
    <cfRule type="containsText" dxfId="33" priority="55" operator="containsText" text="Eletrônicos">
      <formula>NOT(ISERROR(SEARCH("Eletrônicos",N8)))</formula>
    </cfRule>
    <cfRule type="containsText" dxfId="32" priority="56" operator="containsText" text="Assinaturas">
      <formula>NOT(ISERROR(SEARCH("Assinaturas",N8)))</formula>
    </cfRule>
    <cfRule type="containsText" dxfId="31" priority="57" operator="containsText" text="Uber transporte">
      <formula>NOT(ISERROR(SEARCH("Uber transporte",N8)))</formula>
    </cfRule>
    <cfRule type="containsText" dxfId="30" priority="58" operator="containsText" text="iFood/restaurante">
      <formula>NOT(ISERROR(SEARCH("iFood/restaurante",N8)))</formula>
    </cfRule>
    <cfRule type="containsText" dxfId="29" priority="59" operator="containsText" text="Comida faculdade">
      <formula>NOT(ISERROR(SEARCH("Comida faculdade",N8)))</formula>
    </cfRule>
    <cfRule type="containsText" dxfId="28" priority="60" operator="containsText" text="Contas">
      <formula>NOT(ISERROR(SEARCH("Contas",N8)))</formula>
    </cfRule>
    <cfRule type="containsText" dxfId="27" priority="61" operator="containsText" text="Outros">
      <formula>NOT(ISERROR(SEARCH("Outros",N8)))</formula>
    </cfRule>
  </conditionalFormatting>
  <conditionalFormatting sqref="S3">
    <cfRule type="cellIs" dxfId="26" priority="85" operator="greaterThanOrEqual">
      <formula>0</formula>
    </cfRule>
    <cfRule type="cellIs" dxfId="25" priority="86" operator="lessThan">
      <formula>0</formula>
    </cfRule>
  </conditionalFormatting>
  <conditionalFormatting sqref="U5:U20">
    <cfRule type="containsText" dxfId="24" priority="66" operator="containsText" text="Necessidades">
      <formula>NOT(ISERROR(SEARCH("Necessidades",U5)))</formula>
    </cfRule>
    <cfRule type="containsText" dxfId="23" priority="67" operator="containsText" text="Roupa">
      <formula>NOT(ISERROR(SEARCH("Roupa",U5)))</formula>
    </cfRule>
    <cfRule type="containsText" dxfId="22" priority="68" operator="containsText" text="Saúde">
      <formula>NOT(ISERROR(SEARCH("Saúde",U5)))</formula>
    </cfRule>
    <cfRule type="containsText" dxfId="21" priority="69" operator="containsText" text="Presentes">
      <formula>NOT(ISERROR(SEARCH("Presentes",U5)))</formula>
    </cfRule>
    <cfRule type="containsText" dxfId="20" priority="70" operator="containsText" text="Beleza">
      <formula>NOT(ISERROR(SEARCH("Beleza",U5)))</formula>
    </cfRule>
    <cfRule type="containsText" dxfId="19" priority="71" operator="containsText" text="Desenvolvimento">
      <formula>NOT(ISERROR(SEARCH("Desenvolvimento",U5)))</formula>
    </cfRule>
    <cfRule type="containsText" dxfId="18" priority="72" operator="containsText" text="Lazer">
      <formula>NOT(ISERROR(SEARCH("Lazer",U5)))</formula>
    </cfRule>
    <cfRule type="containsText" dxfId="17" priority="73" operator="containsText" text="Eletrônicos">
      <formula>NOT(ISERROR(SEARCH("Eletrônicos",U5)))</formula>
    </cfRule>
    <cfRule type="containsText" dxfId="16" priority="74" operator="containsText" text="Assinaturas">
      <formula>NOT(ISERROR(SEARCH("Assinaturas",U5)))</formula>
    </cfRule>
    <cfRule type="containsText" dxfId="15" priority="75" operator="containsText" text="Uber transporte">
      <formula>NOT(ISERROR(SEARCH("Uber transporte",U5)))</formula>
    </cfRule>
    <cfRule type="containsText" dxfId="14" priority="76" operator="containsText" text="iFood/restaurante">
      <formula>NOT(ISERROR(SEARCH("iFood/restaurante",U5)))</formula>
    </cfRule>
    <cfRule type="containsText" dxfId="13" priority="77" operator="containsText" text="Comida faculdade">
      <formula>NOT(ISERROR(SEARCH("Comida faculdade",U5)))</formula>
    </cfRule>
    <cfRule type="containsText" dxfId="12" priority="78" operator="containsText" text="Contas">
      <formula>NOT(ISERROR(SEARCH("Contas",U5)))</formula>
    </cfRule>
    <cfRule type="containsText" dxfId="11" priority="79" operator="containsText" text="Outros">
      <formula>NOT(ISERROR(SEARCH("Outros",U5)))</formula>
    </cfRule>
    <cfRule type="containsText" dxfId="10" priority="64" operator="containsText" text="Mercado">
      <formula>NOT(ISERROR(SEARCH("Mercado",U5)))</formula>
    </cfRule>
    <cfRule type="containsText" dxfId="9" priority="65" operator="containsText" text="Despesas eventuais">
      <formula>NOT(ISERROR(SEARCH("Despesas eventuais",U5)))</formula>
    </cfRule>
  </conditionalFormatting>
  <conditionalFormatting sqref="U24:U27">
    <cfRule type="containsText" dxfId="8" priority="82" operator="containsText" text="Inter">
      <formula>NOT(ISERROR(SEARCH("Inter",U24)))</formula>
    </cfRule>
    <cfRule type="containsText" dxfId="7" priority="83" operator="containsText" text="Itaú">
      <formula>NOT(ISERROR(SEARCH("Itaú",U24)))</formula>
    </cfRule>
    <cfRule type="containsText" dxfId="6" priority="80" operator="containsText" text="Débito">
      <formula>NOT(ISERROR(SEARCH("Débito",U24)))</formula>
    </cfRule>
    <cfRule type="containsText" dxfId="5" priority="81" operator="containsText" text="Nubank">
      <formula>NOT(ISERROR(SEARCH("Nubank",U24)))</formula>
    </cfRule>
  </conditionalFormatting>
  <conditionalFormatting sqref="W5:W20">
    <cfRule type="expression" dxfId="4" priority="87">
      <formula>AND($V5&gt;0,W5&gt;$V5)</formula>
    </cfRule>
  </conditionalFormatting>
  <conditionalFormatting sqref="X5:X20">
    <cfRule type="expression" dxfId="3" priority="88">
      <formula>AND($V5&gt;0,W5&gt;$V5)</formula>
    </cfRule>
  </conditionalFormatting>
  <conditionalFormatting sqref="X24:X27">
    <cfRule type="containsText" dxfId="2" priority="84" operator="containsText" text="☑">
      <formula>NOT(ISERROR(SEARCH("☑",X24)))</formula>
    </cfRule>
  </conditionalFormatting>
  <dataValidations count="1">
    <dataValidation type="list" allowBlank="1" sqref="D11:D18 X24:X27" xr:uid="{00000000-0002-0000-0B00-000002000000}">
      <formula1>"☐,☑"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errorTitle="Categoria inválida" error="Selecione uma categoria válida da lista." xr:uid="{00000000-0002-0000-0B00-000000000000}">
          <x14:formula1>
            <xm:f>Categorias!$A$5:$A$20</xm:f>
          </x14:formula1>
          <x14:formula2>
            <xm:f>0</xm:f>
          </x14:formula2>
          <xm:sqref>N8:N35 G11:G18 G24:G35</xm:sqref>
        </x14:dataValidation>
        <x14:dataValidation type="list" allowBlank="1" errorTitle="Forma de pagamento inválida" error="Selecione uma forma de pagamento válida da lista." xr:uid="{00000000-0002-0000-0B00-000001000000}">
          <x14:formula1>
            <xm:f>Categorias!$D$5:$D$8</xm:f>
          </x14:formula1>
          <x14:formula2>
            <xm:f>0</xm:f>
          </x14:formula2>
          <xm:sqref>M8:M35 F11:F18 F24:F35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24"/>
  <sheetViews>
    <sheetView showGridLines="0" zoomScaleNormal="100" workbookViewId="0"/>
  </sheetViews>
  <sheetFormatPr defaultColWidth="8.7109375" defaultRowHeight="15" x14ac:dyDescent="0.25"/>
  <cols>
    <col min="1" max="1" width="20" customWidth="1"/>
    <col min="2" max="13" width="11" customWidth="1"/>
    <col min="14" max="14" width="13" customWidth="1"/>
  </cols>
  <sheetData>
    <row r="1" spans="1:14" x14ac:dyDescent="0.25">
      <c r="A1" s="74" t="s">
        <v>101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</row>
    <row r="2" spans="1:14" x14ac:dyDescent="0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</row>
    <row r="4" spans="1:14" x14ac:dyDescent="0.25">
      <c r="A4" s="41" t="s">
        <v>1</v>
      </c>
      <c r="B4" s="42" t="s">
        <v>102</v>
      </c>
      <c r="C4" s="42" t="s">
        <v>103</v>
      </c>
      <c r="D4" s="42" t="s">
        <v>104</v>
      </c>
      <c r="E4" s="42" t="s">
        <v>105</v>
      </c>
      <c r="F4" s="42" t="s">
        <v>106</v>
      </c>
      <c r="G4" s="42" t="s">
        <v>107</v>
      </c>
      <c r="H4" s="42" t="s">
        <v>108</v>
      </c>
      <c r="I4" s="42" t="s">
        <v>109</v>
      </c>
      <c r="J4" s="42" t="s">
        <v>110</v>
      </c>
      <c r="K4" s="42" t="s">
        <v>111</v>
      </c>
      <c r="L4" s="42" t="s">
        <v>112</v>
      </c>
      <c r="M4" s="42" t="s">
        <v>113</v>
      </c>
      <c r="N4" s="42" t="s">
        <v>25</v>
      </c>
    </row>
    <row r="5" spans="1:14" x14ac:dyDescent="0.25">
      <c r="A5" s="43" t="str">
        <f>Categorias!$A$5</f>
        <v>Mercado</v>
      </c>
      <c r="B5" s="44">
        <f>Janeiro!$W$5</f>
        <v>0</v>
      </c>
      <c r="C5" s="44">
        <f>Fevereiro!$W$5</f>
        <v>0</v>
      </c>
      <c r="D5" s="44">
        <f>Março!$W$5</f>
        <v>0</v>
      </c>
      <c r="E5" s="44">
        <f>Abril!$W$5</f>
        <v>0</v>
      </c>
      <c r="F5" s="44">
        <f>Maio!$W$5</f>
        <v>0</v>
      </c>
      <c r="G5" s="44">
        <f>Junho!$W$5</f>
        <v>0</v>
      </c>
      <c r="H5" s="44">
        <f>Julho!$W$5</f>
        <v>0</v>
      </c>
      <c r="I5" s="44">
        <f>Agosto!$W$5</f>
        <v>282</v>
      </c>
      <c r="J5" s="44">
        <f>Setembro!$W$5</f>
        <v>0</v>
      </c>
      <c r="K5" s="44">
        <f>Outubro!$W$5</f>
        <v>0</v>
      </c>
      <c r="L5" s="44">
        <f>Novembro!$W$5</f>
        <v>0</v>
      </c>
      <c r="M5" s="44">
        <f>Dezembro!$W$5</f>
        <v>0</v>
      </c>
      <c r="N5" s="45">
        <f t="shared" ref="N5:N20" si="0">SUM(B5:M5)</f>
        <v>282</v>
      </c>
    </row>
    <row r="6" spans="1:14" x14ac:dyDescent="0.25">
      <c r="A6" s="43" t="str">
        <f>Categorias!$A$6</f>
        <v>Despesas eventuais</v>
      </c>
      <c r="B6" s="44">
        <f>Janeiro!$W$6</f>
        <v>0</v>
      </c>
      <c r="C6" s="44">
        <f>Fevereiro!$W$6</f>
        <v>0</v>
      </c>
      <c r="D6" s="44">
        <f>Março!$W$6</f>
        <v>0</v>
      </c>
      <c r="E6" s="44">
        <f>Abril!$W$6</f>
        <v>0</v>
      </c>
      <c r="F6" s="44">
        <f>Maio!$W$6</f>
        <v>0</v>
      </c>
      <c r="G6" s="44">
        <f>Junho!$W$6</f>
        <v>0</v>
      </c>
      <c r="H6" s="44">
        <f>Julho!$W$6</f>
        <v>0</v>
      </c>
      <c r="I6" s="44">
        <f>Agosto!$W$6</f>
        <v>0</v>
      </c>
      <c r="J6" s="44">
        <f>Setembro!$W$6</f>
        <v>0</v>
      </c>
      <c r="K6" s="44">
        <f>Outubro!$W$6</f>
        <v>0</v>
      </c>
      <c r="L6" s="44">
        <f>Novembro!$W$6</f>
        <v>0</v>
      </c>
      <c r="M6" s="44">
        <f>Dezembro!$W$6</f>
        <v>0</v>
      </c>
      <c r="N6" s="45">
        <f t="shared" si="0"/>
        <v>0</v>
      </c>
    </row>
    <row r="7" spans="1:14" x14ac:dyDescent="0.25">
      <c r="A7" s="43" t="str">
        <f>Categorias!$A$7</f>
        <v>Necessidades</v>
      </c>
      <c r="B7" s="44">
        <f>Janeiro!$W$7</f>
        <v>0</v>
      </c>
      <c r="C7" s="44">
        <f>Fevereiro!$W$7</f>
        <v>0</v>
      </c>
      <c r="D7" s="44">
        <f>Março!$W$7</f>
        <v>0</v>
      </c>
      <c r="E7" s="44">
        <f>Abril!$W$7</f>
        <v>0</v>
      </c>
      <c r="F7" s="44">
        <f>Maio!$W$7</f>
        <v>0</v>
      </c>
      <c r="G7" s="44">
        <f>Junho!$W$7</f>
        <v>0</v>
      </c>
      <c r="H7" s="44">
        <f>Julho!$W$7</f>
        <v>0</v>
      </c>
      <c r="I7" s="44">
        <f>Agosto!$W$7</f>
        <v>58</v>
      </c>
      <c r="J7" s="44">
        <f>Setembro!$W$7</f>
        <v>130</v>
      </c>
      <c r="K7" s="44">
        <f>Outubro!$W$7</f>
        <v>0</v>
      </c>
      <c r="L7" s="44">
        <f>Novembro!$W$7</f>
        <v>0</v>
      </c>
      <c r="M7" s="44">
        <f>Dezembro!$W$7</f>
        <v>0</v>
      </c>
      <c r="N7" s="45">
        <f t="shared" si="0"/>
        <v>188</v>
      </c>
    </row>
    <row r="8" spans="1:14" x14ac:dyDescent="0.25">
      <c r="A8" s="43" t="str">
        <f>Categorias!$A$8</f>
        <v>Roupa</v>
      </c>
      <c r="B8" s="44">
        <f>Janeiro!$W$8</f>
        <v>0</v>
      </c>
      <c r="C8" s="44">
        <f>Fevereiro!$W$8</f>
        <v>0</v>
      </c>
      <c r="D8" s="44">
        <f>Março!$W$8</f>
        <v>0</v>
      </c>
      <c r="E8" s="44">
        <f>Abril!$W$8</f>
        <v>0</v>
      </c>
      <c r="F8" s="44">
        <f>Maio!$W$8</f>
        <v>0</v>
      </c>
      <c r="G8" s="44">
        <f>Junho!$W$8</f>
        <v>0</v>
      </c>
      <c r="H8" s="44">
        <f>Julho!$W$8</f>
        <v>0</v>
      </c>
      <c r="I8" s="44">
        <f>Agosto!$W$8</f>
        <v>248.5</v>
      </c>
      <c r="J8" s="44">
        <f>Setembro!$W$8</f>
        <v>0</v>
      </c>
      <c r="K8" s="44">
        <f>Outubro!$W$8</f>
        <v>0</v>
      </c>
      <c r="L8" s="44">
        <f>Novembro!$W$8</f>
        <v>0</v>
      </c>
      <c r="M8" s="44">
        <f>Dezembro!$W$8</f>
        <v>0</v>
      </c>
      <c r="N8" s="45">
        <f t="shared" si="0"/>
        <v>248.5</v>
      </c>
    </row>
    <row r="9" spans="1:14" x14ac:dyDescent="0.25">
      <c r="A9" s="43" t="str">
        <f>Categorias!$A$9</f>
        <v>Saúde</v>
      </c>
      <c r="B9" s="44">
        <f>Janeiro!$W$9</f>
        <v>0</v>
      </c>
      <c r="C9" s="44">
        <f>Fevereiro!$W$9</f>
        <v>0</v>
      </c>
      <c r="D9" s="44">
        <f>Março!$W$9</f>
        <v>0</v>
      </c>
      <c r="E9" s="44">
        <f>Abril!$W$9</f>
        <v>0</v>
      </c>
      <c r="F9" s="44">
        <f>Maio!$W$9</f>
        <v>0</v>
      </c>
      <c r="G9" s="44">
        <f>Junho!$W$9</f>
        <v>0</v>
      </c>
      <c r="H9" s="44">
        <f>Julho!$W$9</f>
        <v>0</v>
      </c>
      <c r="I9" s="44">
        <f>Agosto!$W$9</f>
        <v>158</v>
      </c>
      <c r="J9" s="44">
        <f>Setembro!$W$9</f>
        <v>0</v>
      </c>
      <c r="K9" s="44">
        <f>Outubro!$W$9</f>
        <v>0</v>
      </c>
      <c r="L9" s="44">
        <f>Novembro!$W$9</f>
        <v>0</v>
      </c>
      <c r="M9" s="44">
        <f>Dezembro!$W$9</f>
        <v>0</v>
      </c>
      <c r="N9" s="45">
        <f t="shared" si="0"/>
        <v>158</v>
      </c>
    </row>
    <row r="10" spans="1:14" x14ac:dyDescent="0.25">
      <c r="A10" s="43" t="str">
        <f>Categorias!$A$10</f>
        <v>Presentes</v>
      </c>
      <c r="B10" s="44">
        <f>Janeiro!$W$10</f>
        <v>0</v>
      </c>
      <c r="C10" s="44">
        <f>Fevereiro!$W$10</f>
        <v>0</v>
      </c>
      <c r="D10" s="44">
        <f>Março!$W$10</f>
        <v>0</v>
      </c>
      <c r="E10" s="44">
        <f>Abril!$W$10</f>
        <v>0</v>
      </c>
      <c r="F10" s="44">
        <f>Maio!$W$10</f>
        <v>0</v>
      </c>
      <c r="G10" s="44">
        <f>Junho!$W$10</f>
        <v>0</v>
      </c>
      <c r="H10" s="44">
        <f>Julho!$W$10</f>
        <v>0</v>
      </c>
      <c r="I10" s="44">
        <f>Agosto!$W$10</f>
        <v>0</v>
      </c>
      <c r="J10" s="44">
        <f>Setembro!$W$10</f>
        <v>0</v>
      </c>
      <c r="K10" s="44">
        <f>Outubro!$W$10</f>
        <v>0</v>
      </c>
      <c r="L10" s="44">
        <f>Novembro!$W$10</f>
        <v>0</v>
      </c>
      <c r="M10" s="44">
        <f>Dezembro!$W$10</f>
        <v>0</v>
      </c>
      <c r="N10" s="45">
        <f t="shared" si="0"/>
        <v>0</v>
      </c>
    </row>
    <row r="11" spans="1:14" x14ac:dyDescent="0.25">
      <c r="A11" s="43" t="str">
        <f>Categorias!$A$11</f>
        <v>Beleza</v>
      </c>
      <c r="B11" s="44">
        <f>Janeiro!$W$11</f>
        <v>0</v>
      </c>
      <c r="C11" s="44">
        <f>Fevereiro!$W$11</f>
        <v>0</v>
      </c>
      <c r="D11" s="44">
        <f>Março!$W$11</f>
        <v>0</v>
      </c>
      <c r="E11" s="44">
        <f>Abril!$W$11</f>
        <v>0</v>
      </c>
      <c r="F11" s="44">
        <f>Maio!$W$11</f>
        <v>0</v>
      </c>
      <c r="G11" s="44">
        <f>Junho!$W$11</f>
        <v>0</v>
      </c>
      <c r="H11" s="44">
        <f>Julho!$W$11</f>
        <v>0</v>
      </c>
      <c r="I11" s="44">
        <f>Agosto!$W$11</f>
        <v>332</v>
      </c>
      <c r="J11" s="44">
        <f>Setembro!$W$11</f>
        <v>0</v>
      </c>
      <c r="K11" s="44">
        <f>Outubro!$W$11</f>
        <v>0</v>
      </c>
      <c r="L11" s="44">
        <f>Novembro!$W$11</f>
        <v>0</v>
      </c>
      <c r="M11" s="44">
        <f>Dezembro!$W$11</f>
        <v>0</v>
      </c>
      <c r="N11" s="45">
        <f t="shared" si="0"/>
        <v>332</v>
      </c>
    </row>
    <row r="12" spans="1:14" x14ac:dyDescent="0.25">
      <c r="A12" s="43" t="str">
        <f>Categorias!$A$12</f>
        <v>Desenvolvimento</v>
      </c>
      <c r="B12" s="44">
        <f>Janeiro!$W$12</f>
        <v>0</v>
      </c>
      <c r="C12" s="44">
        <f>Fevereiro!$W$12</f>
        <v>0</v>
      </c>
      <c r="D12" s="44">
        <f>Março!$W$12</f>
        <v>0</v>
      </c>
      <c r="E12" s="44">
        <f>Abril!$W$12</f>
        <v>0</v>
      </c>
      <c r="F12" s="44">
        <f>Maio!$W$12</f>
        <v>0</v>
      </c>
      <c r="G12" s="44">
        <f>Junho!$W$12</f>
        <v>0</v>
      </c>
      <c r="H12" s="44">
        <f>Julho!$W$12</f>
        <v>0</v>
      </c>
      <c r="I12" s="44">
        <f>Agosto!$W$12</f>
        <v>0</v>
      </c>
      <c r="J12" s="44">
        <f>Setembro!$W$12</f>
        <v>170</v>
      </c>
      <c r="K12" s="44">
        <f>Outubro!$W$12</f>
        <v>0</v>
      </c>
      <c r="L12" s="44">
        <f>Novembro!$W$12</f>
        <v>0</v>
      </c>
      <c r="M12" s="44">
        <f>Dezembro!$W$12</f>
        <v>0</v>
      </c>
      <c r="N12" s="45">
        <f t="shared" si="0"/>
        <v>170</v>
      </c>
    </row>
    <row r="13" spans="1:14" x14ac:dyDescent="0.25">
      <c r="A13" s="43" t="str">
        <f>Categorias!$A$13</f>
        <v>Lazer</v>
      </c>
      <c r="B13" s="44">
        <f>Janeiro!$W$13</f>
        <v>0</v>
      </c>
      <c r="C13" s="44">
        <f>Fevereiro!$W$13</f>
        <v>0</v>
      </c>
      <c r="D13" s="44">
        <f>Março!$W$13</f>
        <v>0</v>
      </c>
      <c r="E13" s="44">
        <f>Abril!$W$13</f>
        <v>0</v>
      </c>
      <c r="F13" s="44">
        <f>Maio!$W$13</f>
        <v>0</v>
      </c>
      <c r="G13" s="44">
        <f>Junho!$W$13</f>
        <v>0</v>
      </c>
      <c r="H13" s="44">
        <f>Julho!$W$13</f>
        <v>0</v>
      </c>
      <c r="I13" s="44">
        <f>Agosto!$W$13</f>
        <v>0</v>
      </c>
      <c r="J13" s="44">
        <f>Setembro!$W$13</f>
        <v>0</v>
      </c>
      <c r="K13" s="44">
        <f>Outubro!$W$13</f>
        <v>0</v>
      </c>
      <c r="L13" s="44">
        <f>Novembro!$W$13</f>
        <v>0</v>
      </c>
      <c r="M13" s="44">
        <f>Dezembro!$W$13</f>
        <v>0</v>
      </c>
      <c r="N13" s="45">
        <f t="shared" si="0"/>
        <v>0</v>
      </c>
    </row>
    <row r="14" spans="1:14" x14ac:dyDescent="0.25">
      <c r="A14" s="43" t="str">
        <f>Categorias!$A$14</f>
        <v>Eletrônicos</v>
      </c>
      <c r="B14" s="44">
        <f>Janeiro!$W$14</f>
        <v>0</v>
      </c>
      <c r="C14" s="44">
        <f>Fevereiro!$W$14</f>
        <v>0</v>
      </c>
      <c r="D14" s="44">
        <f>Março!$W$14</f>
        <v>0</v>
      </c>
      <c r="E14" s="44">
        <f>Abril!$W$14</f>
        <v>0</v>
      </c>
      <c r="F14" s="44">
        <f>Maio!$W$14</f>
        <v>0</v>
      </c>
      <c r="G14" s="44">
        <f>Junho!$W$14</f>
        <v>0</v>
      </c>
      <c r="H14" s="44">
        <f>Julho!$W$14</f>
        <v>0</v>
      </c>
      <c r="I14" s="44">
        <f>Agosto!$W$14</f>
        <v>45</v>
      </c>
      <c r="J14" s="44">
        <f>Setembro!$W$14</f>
        <v>0</v>
      </c>
      <c r="K14" s="44">
        <f>Outubro!$W$14</f>
        <v>0</v>
      </c>
      <c r="L14" s="44">
        <f>Novembro!$W$14</f>
        <v>0</v>
      </c>
      <c r="M14" s="44">
        <f>Dezembro!$W$14</f>
        <v>0</v>
      </c>
      <c r="N14" s="45">
        <f t="shared" si="0"/>
        <v>45</v>
      </c>
    </row>
    <row r="15" spans="1:14" x14ac:dyDescent="0.25">
      <c r="A15" s="43" t="str">
        <f>Categorias!$A$15</f>
        <v>Assinaturas</v>
      </c>
      <c r="B15" s="44">
        <f>Janeiro!$W$15</f>
        <v>0</v>
      </c>
      <c r="C15" s="44">
        <f>Fevereiro!$W$15</f>
        <v>0</v>
      </c>
      <c r="D15" s="44">
        <f>Março!$W$15</f>
        <v>0</v>
      </c>
      <c r="E15" s="44">
        <f>Abril!$W$15</f>
        <v>0</v>
      </c>
      <c r="F15" s="44">
        <f>Maio!$W$15</f>
        <v>0</v>
      </c>
      <c r="G15" s="44">
        <f>Junho!$W$15</f>
        <v>0</v>
      </c>
      <c r="H15" s="44">
        <f>Julho!$W$15</f>
        <v>0</v>
      </c>
      <c r="I15" s="44">
        <f>Agosto!$W$15</f>
        <v>103.9</v>
      </c>
      <c r="J15" s="44">
        <f>Setembro!$W$15</f>
        <v>0</v>
      </c>
      <c r="K15" s="44">
        <f>Outubro!$W$15</f>
        <v>0</v>
      </c>
      <c r="L15" s="44">
        <f>Novembro!$W$15</f>
        <v>0</v>
      </c>
      <c r="M15" s="44">
        <f>Dezembro!$W$15</f>
        <v>0</v>
      </c>
      <c r="N15" s="45">
        <f t="shared" si="0"/>
        <v>103.9</v>
      </c>
    </row>
    <row r="16" spans="1:14" x14ac:dyDescent="0.25">
      <c r="A16" s="43" t="str">
        <f>Categorias!$A$16</f>
        <v>Uber transporte</v>
      </c>
      <c r="B16" s="44">
        <f>Janeiro!$W$16</f>
        <v>0</v>
      </c>
      <c r="C16" s="44">
        <f>Fevereiro!$W$16</f>
        <v>0</v>
      </c>
      <c r="D16" s="44">
        <f>Março!$W$16</f>
        <v>0</v>
      </c>
      <c r="E16" s="44">
        <f>Abril!$W$16</f>
        <v>0</v>
      </c>
      <c r="F16" s="44">
        <f>Maio!$W$16</f>
        <v>0</v>
      </c>
      <c r="G16" s="44">
        <f>Junho!$W$16</f>
        <v>0</v>
      </c>
      <c r="H16" s="44">
        <f>Julho!$W$16</f>
        <v>0</v>
      </c>
      <c r="I16" s="44">
        <f>Agosto!$W$16</f>
        <v>83</v>
      </c>
      <c r="J16" s="44">
        <f>Setembro!$W$16</f>
        <v>0</v>
      </c>
      <c r="K16" s="44">
        <f>Outubro!$W$16</f>
        <v>0</v>
      </c>
      <c r="L16" s="44">
        <f>Novembro!$W$16</f>
        <v>0</v>
      </c>
      <c r="M16" s="44">
        <f>Dezembro!$W$16</f>
        <v>0</v>
      </c>
      <c r="N16" s="45">
        <f t="shared" si="0"/>
        <v>83</v>
      </c>
    </row>
    <row r="17" spans="1:14" x14ac:dyDescent="0.25">
      <c r="A17" s="43" t="str">
        <f>Categorias!$A$17</f>
        <v>iFood/restaurante</v>
      </c>
      <c r="B17" s="44">
        <f>Janeiro!$W$17</f>
        <v>0</v>
      </c>
      <c r="C17" s="44">
        <f>Fevereiro!$W$17</f>
        <v>0</v>
      </c>
      <c r="D17" s="44">
        <f>Março!$W$17</f>
        <v>0</v>
      </c>
      <c r="E17" s="44">
        <f>Abril!$W$17</f>
        <v>0</v>
      </c>
      <c r="F17" s="44">
        <f>Maio!$W$17</f>
        <v>0</v>
      </c>
      <c r="G17" s="44">
        <f>Junho!$W$17</f>
        <v>0</v>
      </c>
      <c r="H17" s="44">
        <f>Julho!$W$17</f>
        <v>0</v>
      </c>
      <c r="I17" s="44">
        <f>Agosto!$W$17</f>
        <v>222.5</v>
      </c>
      <c r="J17" s="44">
        <f>Setembro!$W$17</f>
        <v>0</v>
      </c>
      <c r="K17" s="44">
        <f>Outubro!$W$17</f>
        <v>0</v>
      </c>
      <c r="L17" s="44">
        <f>Novembro!$W$17</f>
        <v>0</v>
      </c>
      <c r="M17" s="44">
        <f>Dezembro!$W$17</f>
        <v>0</v>
      </c>
      <c r="N17" s="45">
        <f t="shared" si="0"/>
        <v>222.5</v>
      </c>
    </row>
    <row r="18" spans="1:14" x14ac:dyDescent="0.25">
      <c r="A18" s="43" t="str">
        <f>Categorias!$A$18</f>
        <v>Comida faculdade</v>
      </c>
      <c r="B18" s="44">
        <f>Janeiro!$W$18</f>
        <v>0</v>
      </c>
      <c r="C18" s="44">
        <f>Fevereiro!$W$18</f>
        <v>0</v>
      </c>
      <c r="D18" s="44">
        <f>Março!$W$18</f>
        <v>0</v>
      </c>
      <c r="E18" s="44">
        <f>Abril!$W$18</f>
        <v>0</v>
      </c>
      <c r="F18" s="44">
        <f>Maio!$W$18</f>
        <v>0</v>
      </c>
      <c r="G18" s="44">
        <f>Junho!$W$18</f>
        <v>0</v>
      </c>
      <c r="H18" s="44">
        <f>Julho!$W$18</f>
        <v>0</v>
      </c>
      <c r="I18" s="44">
        <f>Agosto!$W$18</f>
        <v>48</v>
      </c>
      <c r="J18" s="44">
        <f>Setembro!$W$18</f>
        <v>0</v>
      </c>
      <c r="K18" s="44">
        <f>Outubro!$W$18</f>
        <v>0</v>
      </c>
      <c r="L18" s="44">
        <f>Novembro!$W$18</f>
        <v>0</v>
      </c>
      <c r="M18" s="44">
        <f>Dezembro!$W$18</f>
        <v>0</v>
      </c>
      <c r="N18" s="45">
        <f t="shared" si="0"/>
        <v>48</v>
      </c>
    </row>
    <row r="19" spans="1:14" x14ac:dyDescent="0.25">
      <c r="A19" s="43" t="str">
        <f>Categorias!$A$19</f>
        <v>Contas</v>
      </c>
      <c r="B19" s="44">
        <f>Janeiro!$W$19</f>
        <v>0</v>
      </c>
      <c r="C19" s="44">
        <f>Fevereiro!$W$19</f>
        <v>0</v>
      </c>
      <c r="D19" s="44">
        <f>Março!$W$19</f>
        <v>0</v>
      </c>
      <c r="E19" s="44">
        <f>Abril!$W$19</f>
        <v>0</v>
      </c>
      <c r="F19" s="44">
        <f>Maio!$W$19</f>
        <v>0</v>
      </c>
      <c r="G19" s="44">
        <f>Junho!$W$19</f>
        <v>0</v>
      </c>
      <c r="H19" s="44">
        <f>Julho!$W$19</f>
        <v>0</v>
      </c>
      <c r="I19" s="44">
        <f>Agosto!$W$19</f>
        <v>385</v>
      </c>
      <c r="J19" s="44">
        <f>Setembro!$W$19</f>
        <v>0</v>
      </c>
      <c r="K19" s="44">
        <f>Outubro!$W$19</f>
        <v>0</v>
      </c>
      <c r="L19" s="44">
        <f>Novembro!$W$19</f>
        <v>0</v>
      </c>
      <c r="M19" s="44">
        <f>Dezembro!$W$19</f>
        <v>0</v>
      </c>
      <c r="N19" s="45">
        <f t="shared" si="0"/>
        <v>385</v>
      </c>
    </row>
    <row r="20" spans="1:14" x14ac:dyDescent="0.25">
      <c r="A20" s="43" t="str">
        <f>Categorias!$A$20</f>
        <v>Outros</v>
      </c>
      <c r="B20" s="44">
        <f>Janeiro!$W$20</f>
        <v>0</v>
      </c>
      <c r="C20" s="44">
        <f>Fevereiro!$W$20</f>
        <v>0</v>
      </c>
      <c r="D20" s="44">
        <f>Março!$W$20</f>
        <v>0</v>
      </c>
      <c r="E20" s="44">
        <f>Abril!$W$20</f>
        <v>0</v>
      </c>
      <c r="F20" s="44">
        <f>Maio!$W$20</f>
        <v>0</v>
      </c>
      <c r="G20" s="44">
        <f>Junho!$W$20</f>
        <v>0</v>
      </c>
      <c r="H20" s="44">
        <f>Julho!$W$20</f>
        <v>0</v>
      </c>
      <c r="I20" s="44">
        <f>Agosto!$W$20</f>
        <v>0</v>
      </c>
      <c r="J20" s="44">
        <f>Setembro!$W$20</f>
        <v>0</v>
      </c>
      <c r="K20" s="44">
        <f>Outubro!$W$20</f>
        <v>0</v>
      </c>
      <c r="L20" s="44">
        <f>Novembro!$W$20</f>
        <v>0</v>
      </c>
      <c r="M20" s="44">
        <f>Dezembro!$W$20</f>
        <v>0</v>
      </c>
      <c r="N20" s="45">
        <f t="shared" si="0"/>
        <v>0</v>
      </c>
    </row>
    <row r="22" spans="1:14" x14ac:dyDescent="0.25">
      <c r="A22" s="46" t="s">
        <v>114</v>
      </c>
      <c r="B22" s="47">
        <f>Janeiro!$F$4</f>
        <v>0</v>
      </c>
      <c r="C22" s="47">
        <f>Fevereiro!$F$4</f>
        <v>0</v>
      </c>
      <c r="D22" s="47">
        <f>Março!$F$4</f>
        <v>0</v>
      </c>
      <c r="E22" s="47">
        <f>Abril!$F$4</f>
        <v>0</v>
      </c>
      <c r="F22" s="47">
        <f>Maio!$F$4</f>
        <v>0</v>
      </c>
      <c r="G22" s="47">
        <f>Junho!$F$4</f>
        <v>0</v>
      </c>
      <c r="H22" s="47">
        <f>Julho!$F$4</f>
        <v>0</v>
      </c>
      <c r="I22" s="47">
        <f>Agosto!$F$4</f>
        <v>1965.9</v>
      </c>
      <c r="J22" s="47">
        <f>Setembro!$F$4</f>
        <v>300</v>
      </c>
      <c r="K22" s="47">
        <f>Outubro!$F$4</f>
        <v>0</v>
      </c>
      <c r="L22" s="47">
        <f>Novembro!$F$4</f>
        <v>0</v>
      </c>
      <c r="M22" s="47">
        <f>Dezembro!$F$4</f>
        <v>0</v>
      </c>
      <c r="N22" s="48">
        <f>SUM(B22:M22)</f>
        <v>2265.9</v>
      </c>
    </row>
    <row r="23" spans="1:14" x14ac:dyDescent="0.25">
      <c r="A23" s="46" t="s">
        <v>115</v>
      </c>
      <c r="B23" s="47">
        <f>Janeiro!$S$10</f>
        <v>0</v>
      </c>
      <c r="C23" s="47">
        <f>Fevereiro!$S$10</f>
        <v>0</v>
      </c>
      <c r="D23" s="47">
        <f>Março!$S$10</f>
        <v>0</v>
      </c>
      <c r="E23" s="47">
        <f>Abril!$S$10</f>
        <v>0</v>
      </c>
      <c r="F23" s="47">
        <f>Maio!$S$10</f>
        <v>0</v>
      </c>
      <c r="G23" s="47">
        <f>Junho!$S$10</f>
        <v>0</v>
      </c>
      <c r="H23" s="47">
        <f>Julho!$S$10</f>
        <v>0</v>
      </c>
      <c r="I23" s="47">
        <f>Agosto!$S$10</f>
        <v>2400</v>
      </c>
      <c r="J23" s="47">
        <f>Setembro!$S$10</f>
        <v>2500</v>
      </c>
      <c r="K23" s="47">
        <f>Outubro!$S$10</f>
        <v>0</v>
      </c>
      <c r="L23" s="47">
        <f>Novembro!$S$10</f>
        <v>0</v>
      </c>
      <c r="M23" s="47">
        <f>Dezembro!$S$10</f>
        <v>0</v>
      </c>
      <c r="N23" s="48">
        <f>SUM(B23:M23)</f>
        <v>4900</v>
      </c>
    </row>
    <row r="24" spans="1:14" x14ac:dyDescent="0.25">
      <c r="A24" s="49" t="s">
        <v>116</v>
      </c>
      <c r="B24" s="50">
        <f>Janeiro!$S$3</f>
        <v>0</v>
      </c>
      <c r="C24" s="50">
        <f>Fevereiro!$S$3</f>
        <v>0</v>
      </c>
      <c r="D24" s="50">
        <f>Março!$S$3</f>
        <v>0</v>
      </c>
      <c r="E24" s="50">
        <f>Abril!$S$3</f>
        <v>0</v>
      </c>
      <c r="F24" s="50">
        <f>Maio!$S$3</f>
        <v>0</v>
      </c>
      <c r="G24" s="50">
        <f>Junho!$S$3</f>
        <v>0</v>
      </c>
      <c r="H24" s="50">
        <f>Julho!$S$3</f>
        <v>0</v>
      </c>
      <c r="I24" s="50">
        <f>Agosto!$S$3</f>
        <v>184.09999999999991</v>
      </c>
      <c r="J24" s="50">
        <f>Setembro!$S$3</f>
        <v>1400</v>
      </c>
      <c r="K24" s="50">
        <f>Outubro!$S$3</f>
        <v>0</v>
      </c>
      <c r="L24" s="50">
        <f>Novembro!$S$3</f>
        <v>0</v>
      </c>
      <c r="M24" s="50">
        <f>Dezembro!$S$3</f>
        <v>0</v>
      </c>
      <c r="N24" s="50">
        <f>SUM(B24:M24)</f>
        <v>1584.1</v>
      </c>
    </row>
  </sheetData>
  <mergeCells count="1">
    <mergeCell ref="A1:N2"/>
  </mergeCells>
  <conditionalFormatting sqref="B24:N24">
    <cfRule type="cellIs" dxfId="1" priority="2" operator="greaterThanOrEqual">
      <formula>0</formula>
    </cfRule>
    <cfRule type="cellIs" dxfId="0" priority="3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8"/>
  <sheetViews>
    <sheetView showGridLines="0" zoomScaleNormal="100" workbookViewId="0"/>
  </sheetViews>
  <sheetFormatPr defaultColWidth="8.7109375" defaultRowHeight="15" x14ac:dyDescent="0.25"/>
  <cols>
    <col min="1" max="1" width="18.85546875" customWidth="1"/>
    <col min="2" max="2" width="10" customWidth="1"/>
    <col min="3" max="3" width="2.85546875" customWidth="1"/>
    <col min="4" max="4" width="13.42578125" customWidth="1"/>
    <col min="5" max="6" width="10" customWidth="1"/>
  </cols>
  <sheetData>
    <row r="1" spans="1:6" ht="18" customHeight="1" x14ac:dyDescent="0.25">
      <c r="A1" s="75" t="s">
        <v>117</v>
      </c>
      <c r="B1" s="75"/>
      <c r="C1" s="75"/>
      <c r="D1" s="75"/>
      <c r="E1" s="75"/>
      <c r="F1" s="51"/>
    </row>
    <row r="2" spans="1:6" ht="18" customHeight="1" x14ac:dyDescent="0.25">
      <c r="A2" s="75"/>
      <c r="B2" s="75"/>
      <c r="C2" s="75"/>
      <c r="D2" s="75"/>
      <c r="E2" s="75"/>
      <c r="F2" s="51"/>
    </row>
    <row r="3" spans="1:6" ht="18" customHeight="1" x14ac:dyDescent="0.25">
      <c r="A3" s="51"/>
      <c r="B3" s="51"/>
      <c r="C3" s="51"/>
      <c r="D3" s="51"/>
      <c r="E3" s="51"/>
      <c r="F3" s="51"/>
    </row>
    <row r="4" spans="1:6" ht="18" customHeight="1" x14ac:dyDescent="0.25">
      <c r="A4" s="18" t="s">
        <v>118</v>
      </c>
      <c r="B4" s="18" t="s">
        <v>119</v>
      </c>
      <c r="C4" s="51"/>
      <c r="D4" s="18" t="s">
        <v>120</v>
      </c>
      <c r="E4" s="18" t="s">
        <v>119</v>
      </c>
      <c r="F4" s="51"/>
    </row>
    <row r="5" spans="1:6" ht="18" customHeight="1" x14ac:dyDescent="0.25">
      <c r="A5" s="52" t="s">
        <v>9</v>
      </c>
      <c r="B5" s="53"/>
      <c r="C5" s="51"/>
      <c r="D5" s="52" t="s">
        <v>30</v>
      </c>
      <c r="E5" s="54"/>
      <c r="F5" s="51"/>
    </row>
    <row r="6" spans="1:6" ht="18" customHeight="1" x14ac:dyDescent="0.25">
      <c r="A6" s="52" t="s">
        <v>11</v>
      </c>
      <c r="B6" s="55"/>
      <c r="C6" s="51"/>
      <c r="D6" s="52" t="s">
        <v>32</v>
      </c>
      <c r="E6" s="56"/>
      <c r="F6" s="51"/>
    </row>
    <row r="7" spans="1:6" ht="18" customHeight="1" x14ac:dyDescent="0.25">
      <c r="A7" s="52" t="s">
        <v>18</v>
      </c>
      <c r="B7" s="57"/>
      <c r="C7" s="51"/>
      <c r="D7" s="52" t="s">
        <v>34</v>
      </c>
      <c r="E7" s="58"/>
      <c r="F7" s="51"/>
    </row>
    <row r="8" spans="1:6" ht="18" customHeight="1" x14ac:dyDescent="0.25">
      <c r="A8" s="52" t="s">
        <v>20</v>
      </c>
      <c r="B8" s="59"/>
      <c r="C8" s="51"/>
      <c r="D8" s="52" t="s">
        <v>36</v>
      </c>
      <c r="E8" s="60"/>
      <c r="F8" s="51"/>
    </row>
    <row r="9" spans="1:6" ht="18" customHeight="1" x14ac:dyDescent="0.25">
      <c r="A9" s="52" t="s">
        <v>23</v>
      </c>
      <c r="B9" s="61"/>
      <c r="C9" s="51"/>
      <c r="D9" s="51"/>
      <c r="E9" s="51"/>
      <c r="F9" s="51"/>
    </row>
    <row r="10" spans="1:6" ht="18" customHeight="1" x14ac:dyDescent="0.25">
      <c r="A10" s="52" t="s">
        <v>26</v>
      </c>
      <c r="B10" s="62"/>
      <c r="C10" s="51"/>
      <c r="D10" s="51"/>
      <c r="E10" s="51"/>
      <c r="F10" s="51"/>
    </row>
    <row r="11" spans="1:6" ht="18" customHeight="1" x14ac:dyDescent="0.25">
      <c r="A11" s="52" t="s">
        <v>27</v>
      </c>
      <c r="B11" s="63"/>
      <c r="C11" s="51"/>
      <c r="D11" s="51"/>
      <c r="E11" s="51"/>
      <c r="F11" s="51"/>
    </row>
    <row r="12" spans="1:6" ht="18" customHeight="1" x14ac:dyDescent="0.25">
      <c r="A12" s="52" t="s">
        <v>29</v>
      </c>
      <c r="B12" s="64"/>
      <c r="C12" s="51"/>
      <c r="D12" s="51"/>
      <c r="E12" s="51"/>
      <c r="F12" s="51"/>
    </row>
    <row r="13" spans="1:6" ht="18" customHeight="1" x14ac:dyDescent="0.25">
      <c r="A13" s="52" t="s">
        <v>31</v>
      </c>
      <c r="B13" s="65"/>
      <c r="C13" s="51"/>
      <c r="D13" s="51"/>
      <c r="E13" s="51"/>
      <c r="F13" s="51"/>
    </row>
    <row r="14" spans="1:6" ht="18" customHeight="1" x14ac:dyDescent="0.25">
      <c r="A14" s="52" t="s">
        <v>33</v>
      </c>
      <c r="B14" s="66"/>
      <c r="C14" s="51"/>
      <c r="D14" s="51"/>
      <c r="E14" s="51"/>
      <c r="F14" s="51"/>
    </row>
    <row r="15" spans="1:6" ht="18" customHeight="1" x14ac:dyDescent="0.25">
      <c r="A15" s="52" t="s">
        <v>35</v>
      </c>
      <c r="B15" s="67"/>
      <c r="C15" s="51"/>
      <c r="D15" s="51"/>
      <c r="E15" s="51"/>
      <c r="F15" s="51"/>
    </row>
    <row r="16" spans="1:6" ht="18" customHeight="1" x14ac:dyDescent="0.25">
      <c r="A16" s="52" t="s">
        <v>37</v>
      </c>
      <c r="B16" s="68"/>
      <c r="C16" s="51"/>
      <c r="D16" s="51"/>
      <c r="E16" s="51"/>
      <c r="F16" s="51"/>
    </row>
    <row r="17" spans="1:6" ht="18" customHeight="1" x14ac:dyDescent="0.25">
      <c r="A17" s="52" t="s">
        <v>39</v>
      </c>
      <c r="B17" s="69"/>
      <c r="C17" s="51"/>
      <c r="D17" s="51"/>
      <c r="E17" s="51"/>
      <c r="F17" s="51"/>
    </row>
    <row r="18" spans="1:6" ht="18" customHeight="1" x14ac:dyDescent="0.25">
      <c r="A18" s="52" t="s">
        <v>40</v>
      </c>
      <c r="B18" s="70"/>
      <c r="C18" s="51"/>
      <c r="D18" s="51"/>
      <c r="E18" s="51"/>
      <c r="F18" s="51"/>
    </row>
    <row r="19" spans="1:6" ht="18" customHeight="1" x14ac:dyDescent="0.25">
      <c r="A19" s="52" t="s">
        <v>41</v>
      </c>
      <c r="B19" s="71"/>
      <c r="C19" s="51"/>
      <c r="D19" s="51"/>
      <c r="E19" s="51"/>
      <c r="F19" s="51"/>
    </row>
    <row r="20" spans="1:6" ht="18" customHeight="1" x14ac:dyDescent="0.25">
      <c r="A20" s="52" t="s">
        <v>43</v>
      </c>
      <c r="B20" s="72"/>
      <c r="C20" s="51"/>
      <c r="D20" s="51"/>
      <c r="E20" s="51"/>
      <c r="F20" s="51"/>
    </row>
    <row r="21" spans="1:6" ht="18" customHeight="1" x14ac:dyDescent="0.25">
      <c r="A21" s="51"/>
      <c r="B21" s="51"/>
      <c r="C21" s="51"/>
      <c r="D21" s="51"/>
      <c r="E21" s="51"/>
      <c r="F21" s="51"/>
    </row>
    <row r="22" spans="1:6" ht="18" customHeight="1" x14ac:dyDescent="0.25">
      <c r="A22" s="51"/>
      <c r="B22" s="51"/>
      <c r="C22" s="51"/>
      <c r="D22" s="51"/>
      <c r="E22" s="51"/>
      <c r="F22" s="51"/>
    </row>
    <row r="23" spans="1:6" ht="18" customHeight="1" x14ac:dyDescent="0.25">
      <c r="A23" s="76" t="s">
        <v>121</v>
      </c>
      <c r="B23" s="76"/>
      <c r="C23" s="76"/>
      <c r="D23" s="76"/>
      <c r="E23" s="76"/>
      <c r="F23" s="51"/>
    </row>
    <row r="24" spans="1:6" ht="18" customHeight="1" x14ac:dyDescent="0.25">
      <c r="A24" s="76"/>
      <c r="B24" s="76"/>
      <c r="C24" s="76"/>
      <c r="D24" s="76"/>
      <c r="E24" s="76"/>
      <c r="F24" s="51"/>
    </row>
    <row r="25" spans="1:6" ht="18" customHeight="1" x14ac:dyDescent="0.25">
      <c r="A25" s="51"/>
      <c r="B25" s="51"/>
      <c r="C25" s="51"/>
      <c r="D25" s="51"/>
      <c r="E25" s="51"/>
      <c r="F25" s="51"/>
    </row>
    <row r="26" spans="1:6" ht="18" customHeight="1" x14ac:dyDescent="0.25">
      <c r="A26" s="51"/>
      <c r="B26" s="51"/>
      <c r="C26" s="51"/>
      <c r="D26" s="51"/>
      <c r="E26" s="51"/>
      <c r="F26" s="51"/>
    </row>
    <row r="27" spans="1:6" ht="18" customHeight="1" x14ac:dyDescent="0.25">
      <c r="A27" s="51"/>
      <c r="B27" s="51"/>
      <c r="C27" s="51"/>
      <c r="D27" s="51"/>
      <c r="E27" s="51"/>
      <c r="F27" s="51"/>
    </row>
    <row r="28" spans="1:6" ht="18" customHeight="1" x14ac:dyDescent="0.25">
      <c r="A28" s="51"/>
      <c r="B28" s="51"/>
      <c r="C28" s="51"/>
      <c r="D28" s="51"/>
      <c r="E28" s="51"/>
      <c r="F28" s="51"/>
    </row>
  </sheetData>
  <mergeCells count="2">
    <mergeCell ref="A1:E2"/>
    <mergeCell ref="A23:E2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  <vt:lpstr>Resumo Anual</vt:lpstr>
      <vt:lpstr>Categorias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Ingrid</dc:creator>
  <dc:description/>
  <cp:lastModifiedBy>INGRID GABRIELA ALVES FERREIRA</cp:lastModifiedBy>
  <cp:revision>1</cp:revision>
  <dcterms:created xsi:type="dcterms:W3CDTF">2026-08-05T22:20:08Z</dcterms:created>
  <dcterms:modified xsi:type="dcterms:W3CDTF">2026-08-05T22:51:25Z</dcterms:modified>
  <dc:language>en-US</dc:language>
</cp:coreProperties>
</file>